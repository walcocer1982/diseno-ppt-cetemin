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rge\Claude\Ciclo II - Diseño 2026\1 - SI-SGCSSMA - Sistema de gestión de calidad, seguridad, salud y medio ambiente\"/>
    </mc:Choice>
  </mc:AlternateContent>
  <xr:revisionPtr revIDLastSave="0" documentId="13_ncr:1_{F87A82A6-540A-4DA9-9A26-162FFD5636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UANZA" sheetId="1" r:id="rId1"/>
  </sheets>
  <calcPr calcId="191029"/>
</workbook>
</file>

<file path=xl/calcChain.xml><?xml version="1.0" encoding="utf-8"?>
<calcChain xmlns="http://schemas.openxmlformats.org/spreadsheetml/2006/main">
  <c r="E17" i="1" l="1"/>
  <c r="D17" i="1"/>
  <c r="C17" i="1"/>
  <c r="D16" i="1"/>
  <c r="C16" i="1"/>
  <c r="E16" i="1" s="1"/>
  <c r="D15" i="1"/>
  <c r="C15" i="1"/>
  <c r="E15" i="1" s="1"/>
  <c r="D14" i="1"/>
  <c r="C14" i="1"/>
  <c r="E14" i="1" s="1"/>
  <c r="E13" i="1"/>
  <c r="D13" i="1"/>
  <c r="C13" i="1"/>
  <c r="D12" i="1"/>
  <c r="C12" i="1"/>
  <c r="E12" i="1" s="1"/>
  <c r="D11" i="1"/>
  <c r="C11" i="1"/>
  <c r="E11" i="1" s="1"/>
  <c r="D10" i="1"/>
  <c r="C10" i="1"/>
  <c r="E10" i="1" s="1"/>
  <c r="E9" i="1"/>
  <c r="D9" i="1"/>
  <c r="C9" i="1"/>
</calcChain>
</file>

<file path=xl/sharedStrings.xml><?xml version="1.0" encoding="utf-8"?>
<sst xmlns="http://schemas.openxmlformats.org/spreadsheetml/2006/main" count="199" uniqueCount="106">
  <si>
    <t>LISTA DE VERIFICACIÓN DE LINEAMIENTOS DEL SISTEMA DE GESTIÓN DE SEGURIDAD Y SALUD EN EL TRABAJO</t>
  </si>
  <si>
    <t>Diagnóstico de línea base  ·  RM 050-2013-TR, Anexo 3  ·  RESULTADO DE LA EVALUACIÓN</t>
  </si>
  <si>
    <t>Empresa evaluada:</t>
  </si>
  <si>
    <t>Servicios Mineros Huanza S.A.C.</t>
  </si>
  <si>
    <t>Alcance:</t>
  </si>
  <si>
    <t>Mantenimiento mecánico · 78 trabajadores · ingreso a planta concentradora en 12 días</t>
  </si>
  <si>
    <t>Evaluación realizada por:</t>
  </si>
  <si>
    <t>Área de SSOMAC del cliente minero, previa a la autorización de ingreso</t>
  </si>
  <si>
    <t>RESULTADO POR LINEAMIENTO</t>
  </si>
  <si>
    <t>LINEAMIENTO</t>
  </si>
  <si>
    <t>ÍTEMS</t>
  </si>
  <si>
    <t>CUMPLE</t>
  </si>
  <si>
    <t>NO CUMPLE</t>
  </si>
  <si>
    <t>% DE CUMPLIMIENTO</t>
  </si>
  <si>
    <t>I. COMPROMISO E INVOLUCRAMIENTO</t>
  </si>
  <si>
    <t>II. POLÍTICA DE SEGURIDAD Y SALUD OCUPACIONAL</t>
  </si>
  <si>
    <t>III. PLANEAMIENTO Y APLICACIÓN</t>
  </si>
  <si>
    <t>IV. IMPLEMENTACIÓN Y OPERACIÓN</t>
  </si>
  <si>
    <t>V. EVALUACIÓN NORMATIVA</t>
  </si>
  <si>
    <t>VI. VERIFICACIÓN</t>
  </si>
  <si>
    <t>VII. CONTROL DE INFORMACIÓN Y DOCUMENTOS</t>
  </si>
  <si>
    <t>VIII. REVISIÓN POR LA DIRECCIÓN</t>
  </si>
  <si>
    <t>TOTAL</t>
  </si>
  <si>
    <t>DETALLE DE LA VERIFICACIÓN</t>
  </si>
  <si>
    <t>N°</t>
  </si>
  <si>
    <t>INDICADOR VERIFICADO</t>
  </si>
  <si>
    <t>OBSERVACIÓN</t>
  </si>
  <si>
    <t>I</t>
  </si>
  <si>
    <t>La alta dirección asume el liderazgo visible del SGSST y participa en sus actividades.</t>
  </si>
  <si>
    <t>NO</t>
  </si>
  <si>
    <t>Se destinan los recursos económicos necesarios para implementar y mantener el SGSST.</t>
  </si>
  <si>
    <t>No hay partida presupuestal asignada</t>
  </si>
  <si>
    <t>Se realizan actividades para fomentar una cultura de prevención de riesgos.</t>
  </si>
  <si>
    <t>SÍ</t>
  </si>
  <si>
    <t>Charla de 5 minutos antes de cada turno</t>
  </si>
  <si>
    <t>Se promueve el trabajo en equipo y la participación en la mejora de las condiciones de trabajo.</t>
  </si>
  <si>
    <t>Se reconoce el desempeño de los trabajadores en materia de seguridad.</t>
  </si>
  <si>
    <t>Se asume la responsabilidad por la seguridad del personal en las labores contratadas.</t>
  </si>
  <si>
    <t>Cláusula en el contrato con el cliente</t>
  </si>
  <si>
    <t>II</t>
  </si>
  <si>
    <t>Existe una política de SST documentada y firmada por la máxima autoridad de la empresa.</t>
  </si>
  <si>
    <t>No existe documento</t>
  </si>
  <si>
    <t>La política es específica y apropiada al tamaño y a la naturaleza de los riesgos de la empresa.</t>
  </si>
  <si>
    <t>La política está difundida y es accesible a todos los trabajadores.</t>
  </si>
  <si>
    <t>La política incluye el compromiso de cumplir la normativa y de consultar a los trabajadores.</t>
  </si>
  <si>
    <t>Se han definido y comunicado las responsabilidades de SST en todos los niveles.</t>
  </si>
  <si>
    <t>Cada frente de trabajo tiene un responsable de supervisión designado.</t>
  </si>
  <si>
    <t>Designado verbalmente, sin documento</t>
  </si>
  <si>
    <t>III</t>
  </si>
  <si>
    <t>Se ha realizado una evaluación inicial o estudio de línea base del SGSST.</t>
  </si>
  <si>
    <t>Esta evaluación. Primera vez que se aplica</t>
  </si>
  <si>
    <t>Existe un IPERC actualizado, elaborado con participación de los trabajadores.</t>
  </si>
  <si>
    <t>No existe</t>
  </si>
  <si>
    <t>El mapa de riesgos está elaborado y exhibido en un lugar visible del centro de trabajo.</t>
  </si>
  <si>
    <t>Se han establecido objetivos de SST medibles y con plazo.</t>
  </si>
  <si>
    <t>Existe un Programa Anual de SST aprobado por el comité.</t>
  </si>
  <si>
    <t>Existe un Plan Anual de SST que defina actividades, responsables y presupuesto.</t>
  </si>
  <si>
    <t>Se identifican los peligros antes de iniciar cada tarea no rutinaria.</t>
  </si>
  <si>
    <t>Con el formato del cliente, aplicado en obra</t>
  </si>
  <si>
    <t>IV</t>
  </si>
  <si>
    <t>El Comité de SST está constituido de forma paritaria y cuenta con libro de actas.</t>
  </si>
  <si>
    <t>No está constituido</t>
  </si>
  <si>
    <t>Existe un Reglamento Interno de SST entregado a cada trabajador.</t>
  </si>
  <si>
    <t>Se realizan no menos de cuatro capacitaciones al año en materia de SST, con registro.</t>
  </si>
  <si>
    <t>Solo inducción de ingreso</t>
  </si>
  <si>
    <t>Se entrega EPP adecuado al riesgo y se registra su entrega.</t>
  </si>
  <si>
    <t>Existe un plan de preparación y respuesta ante emergencias, con simulacros.</t>
  </si>
  <si>
    <t>Los trabajadores reciben inducción antes de iniciar labores.</t>
  </si>
  <si>
    <t>Se verifica que los subcontratistas cumplan las mismas exigencias de SST.</t>
  </si>
  <si>
    <t>Exigido por el cliente</t>
  </si>
  <si>
    <t>V</t>
  </si>
  <si>
    <t>Se ha identificado la normativa legal aplicable en SST y se mantiene actualizada.</t>
  </si>
  <si>
    <t>Se cuenta con las autorizaciones y registros que exige el cliente minero.</t>
  </si>
  <si>
    <t>Los contratos con terceros incluyen cláusulas de cumplimiento en SST.</t>
  </si>
  <si>
    <t>Se cumple lo relativo a jornada de trabajo, descansos y trabajos de riesgo.</t>
  </si>
  <si>
    <t>Se ha evaluado el cumplimiento de las obligaciones del DS 024-2016-EM.</t>
  </si>
  <si>
    <t>Se comunica a la autoridad los accidentes de trabajo en los plazos de ley.</t>
  </si>
  <si>
    <t>Se reporta al cliente, no a la autoridad</t>
  </si>
  <si>
    <t>VI</t>
  </si>
  <si>
    <t>Se realizan inspecciones internas de SST con registro.</t>
  </si>
  <si>
    <t>Mensuales</t>
  </si>
  <si>
    <t>Se realizan exámenes médicos ocupacionales de ingreso, periódicos y de retiro.</t>
  </si>
  <si>
    <t>Se investigan los accidentes e incidentes ocurridos.</t>
  </si>
  <si>
    <t>Se reportan al cliente</t>
  </si>
  <si>
    <t>Se calculan y reportan los índices de frecuencia, severidad y accidentabilidad.</t>
  </si>
  <si>
    <t>No se calculan</t>
  </si>
  <si>
    <t>Se han realizado auditorías internas del SGSST.</t>
  </si>
  <si>
    <t>Se supervisa el cumplimiento de los procedimientos en campo.</t>
  </si>
  <si>
    <t>VII</t>
  </si>
  <si>
    <t>Existen procedimientos escritos de las actividades críticas.</t>
  </si>
  <si>
    <t>Son los del cliente, no propios</t>
  </si>
  <si>
    <t>Los documentos están controlados: versión, vigencia y distribución.</t>
  </si>
  <si>
    <t>Se llevan los registros obligatorios del SGSST.</t>
  </si>
  <si>
    <t>Solo tres de los ocho registros</t>
  </si>
  <si>
    <t>Los registros se conservan por el tiempo que exige la norma.</t>
  </si>
  <si>
    <t>Los trabajadores tienen acceso a los registros que les conciernen.</t>
  </si>
  <si>
    <t>Se conserva evidencia de las capacitaciones y de las entregas de EPP.</t>
  </si>
  <si>
    <t>VIII</t>
  </si>
  <si>
    <t>La alta dirección revisa el SGSST de forma periódica y documentada.</t>
  </si>
  <si>
    <t>Las conclusiones de la revisión se documentan y se difunden.</t>
  </si>
  <si>
    <t>Se toman acciones correctivas a partir de los hallazgos.</t>
  </si>
  <si>
    <t>Solo las que exige el cliente</t>
  </si>
  <si>
    <t>Se mide y comunica el avance de los objetivos de SST.</t>
  </si>
  <si>
    <t>Existe un proceso documentado de mejora continua.</t>
  </si>
  <si>
    <t>La dirección conoce los resultados de las inspecciones del cliente.</t>
  </si>
  <si>
    <t>Versión reducida para uso didáctico: 50 ítems repartidos en los ocho lineamientos. La lista oficial de la RM 050-2013-TR es más extensa; se conserva su estructura de ocho lineamientos y el criterio de cumple / no cumple. Verificar contra el texto publicado antes de usarla fuera del aula.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</si>
</sst>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595959"/>
      <name val="Calibri"/>
    </font>
    <font>
      <b/>
      <sz val="13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ont>
        <b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2"/>
  <sheetViews>
    <sheetView showGridLines="0" tabSelected="1" workbookViewId="0">
      <pane ySplit="20" topLeftCell="A21" activePane="bottomLeft" state="frozen"/>
      <selection pane="bottomLeft" activeCell="C22" sqref="C22"/>
    </sheetView>
  </sheetViews>
  <sheetFormatPr baseColWidth="10" defaultColWidth="8.88671875" defaultRowHeight="14.4" x14ac:dyDescent="0.3"/>
  <cols>
    <col min="1" max="1" width="46" customWidth="1"/>
    <col min="2" max="2" width="12" customWidth="1"/>
    <col min="3" max="3" width="78" customWidth="1"/>
    <col min="4" max="4" width="11" customWidth="1"/>
    <col min="5" max="5" width="42" customWidth="1"/>
  </cols>
  <sheetData>
    <row r="1" spans="1:5" ht="30" customHeight="1" x14ac:dyDescent="0.3">
      <c r="A1" s="16" t="s">
        <v>0</v>
      </c>
      <c r="B1" s="17"/>
      <c r="C1" s="17"/>
      <c r="D1" s="17"/>
      <c r="E1" s="17"/>
    </row>
    <row r="2" spans="1:5" x14ac:dyDescent="0.3">
      <c r="A2" s="20" t="s">
        <v>1</v>
      </c>
      <c r="B2" s="17"/>
      <c r="C2" s="17"/>
      <c r="D2" s="17"/>
      <c r="E2" s="17"/>
    </row>
    <row r="3" spans="1:5" x14ac:dyDescent="0.3">
      <c r="A3" s="2" t="s">
        <v>2</v>
      </c>
      <c r="B3" s="18" t="s">
        <v>3</v>
      </c>
      <c r="C3" s="17"/>
      <c r="D3" s="17"/>
      <c r="E3" s="17"/>
    </row>
    <row r="4" spans="1:5" x14ac:dyDescent="0.3">
      <c r="A4" s="2" t="s">
        <v>4</v>
      </c>
      <c r="B4" s="19" t="s">
        <v>5</v>
      </c>
      <c r="C4" s="17"/>
      <c r="D4" s="17"/>
      <c r="E4" s="17"/>
    </row>
    <row r="5" spans="1:5" x14ac:dyDescent="0.3">
      <c r="A5" s="2" t="s">
        <v>6</v>
      </c>
      <c r="B5" s="19" t="s">
        <v>7</v>
      </c>
      <c r="C5" s="17"/>
      <c r="D5" s="17"/>
      <c r="E5" s="17"/>
    </row>
    <row r="7" spans="1:5" x14ac:dyDescent="0.3">
      <c r="A7" s="22" t="s">
        <v>8</v>
      </c>
      <c r="B7" s="17"/>
      <c r="C7" s="17"/>
      <c r="D7" s="17"/>
      <c r="E7" s="17"/>
    </row>
    <row r="8" spans="1:5" x14ac:dyDescent="0.3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</row>
    <row r="9" spans="1:5" x14ac:dyDescent="0.3">
      <c r="A9" s="4" t="s">
        <v>14</v>
      </c>
      <c r="B9" s="5">
        <v>6</v>
      </c>
      <c r="C9" s="6">
        <f>COUNTIF(D21:D26,"SÍ")</f>
        <v>3</v>
      </c>
      <c r="D9" s="7">
        <f>COUNTIF(D21:D26,"NO")</f>
        <v>3</v>
      </c>
      <c r="E9" s="8">
        <f t="shared" ref="E9:E17" si="0">C9/B9</f>
        <v>0.5</v>
      </c>
    </row>
    <row r="10" spans="1:5" x14ac:dyDescent="0.3">
      <c r="A10" s="4" t="s">
        <v>15</v>
      </c>
      <c r="B10" s="5">
        <v>6</v>
      </c>
      <c r="C10" s="6">
        <f>COUNTIF(D27:D32,"SÍ")</f>
        <v>1</v>
      </c>
      <c r="D10" s="7">
        <f>COUNTIF(D27:D32,"NO")</f>
        <v>5</v>
      </c>
      <c r="E10" s="8">
        <f t="shared" si="0"/>
        <v>0.16666666666666666</v>
      </c>
    </row>
    <row r="11" spans="1:5" x14ac:dyDescent="0.3">
      <c r="A11" s="4" t="s">
        <v>16</v>
      </c>
      <c r="B11" s="5">
        <v>7</v>
      </c>
      <c r="C11" s="6">
        <f>COUNTIF(D33:D39,"SÍ")</f>
        <v>2</v>
      </c>
      <c r="D11" s="7">
        <f>COUNTIF(D33:D39,"NO")</f>
        <v>5</v>
      </c>
      <c r="E11" s="8">
        <f t="shared" si="0"/>
        <v>0.2857142857142857</v>
      </c>
    </row>
    <row r="12" spans="1:5" x14ac:dyDescent="0.3">
      <c r="A12" s="4" t="s">
        <v>17</v>
      </c>
      <c r="B12" s="5">
        <v>7</v>
      </c>
      <c r="C12" s="6">
        <f>COUNTIF(D40:D46,"SÍ")</f>
        <v>3</v>
      </c>
      <c r="D12" s="7">
        <f>COUNTIF(D40:D46,"NO")</f>
        <v>4</v>
      </c>
      <c r="E12" s="8">
        <f t="shared" si="0"/>
        <v>0.42857142857142855</v>
      </c>
    </row>
    <row r="13" spans="1:5" x14ac:dyDescent="0.3">
      <c r="A13" s="4" t="s">
        <v>18</v>
      </c>
      <c r="B13" s="5">
        <v>6</v>
      </c>
      <c r="C13" s="6">
        <f>COUNTIF(D47:D52,"SÍ")</f>
        <v>3</v>
      </c>
      <c r="D13" s="7">
        <f>COUNTIF(D47:D52,"NO")</f>
        <v>3</v>
      </c>
      <c r="E13" s="8">
        <f t="shared" si="0"/>
        <v>0.5</v>
      </c>
    </row>
    <row r="14" spans="1:5" x14ac:dyDescent="0.3">
      <c r="A14" s="4" t="s">
        <v>19</v>
      </c>
      <c r="B14" s="5">
        <v>6</v>
      </c>
      <c r="C14" s="6">
        <f>COUNTIF(D53:D58,"SÍ")</f>
        <v>4</v>
      </c>
      <c r="D14" s="7">
        <f>COUNTIF(D53:D58,"NO")</f>
        <v>2</v>
      </c>
      <c r="E14" s="8">
        <f t="shared" si="0"/>
        <v>0.66666666666666663</v>
      </c>
    </row>
    <row r="15" spans="1:5" x14ac:dyDescent="0.3">
      <c r="A15" s="4" t="s">
        <v>20</v>
      </c>
      <c r="B15" s="5">
        <v>6</v>
      </c>
      <c r="C15" s="6">
        <f>COUNTIF(D59:D64,"SÍ")</f>
        <v>3</v>
      </c>
      <c r="D15" s="7">
        <f>COUNTIF(D59:D64,"NO")</f>
        <v>3</v>
      </c>
      <c r="E15" s="8">
        <f t="shared" si="0"/>
        <v>0.5</v>
      </c>
    </row>
    <row r="16" spans="1:5" x14ac:dyDescent="0.3">
      <c r="A16" s="4" t="s">
        <v>21</v>
      </c>
      <c r="B16" s="5">
        <v>6</v>
      </c>
      <c r="C16" s="6">
        <f>COUNTIF(D65:D70,"SÍ")</f>
        <v>2</v>
      </c>
      <c r="D16" s="7">
        <f>COUNTIF(D65:D70,"NO")</f>
        <v>4</v>
      </c>
      <c r="E16" s="8">
        <f t="shared" si="0"/>
        <v>0.33333333333333331</v>
      </c>
    </row>
    <row r="17" spans="1:5" ht="24" customHeight="1" x14ac:dyDescent="0.3">
      <c r="A17" s="9" t="s">
        <v>22</v>
      </c>
      <c r="B17" s="1">
        <v>50</v>
      </c>
      <c r="C17" s="1">
        <f>COUNTIF(D21:D70,"SÍ")</f>
        <v>21</v>
      </c>
      <c r="D17" s="1">
        <f>COUNTIF(D21:D70,"NO")</f>
        <v>29</v>
      </c>
      <c r="E17" s="10">
        <f t="shared" si="0"/>
        <v>0.42</v>
      </c>
    </row>
    <row r="19" spans="1:5" x14ac:dyDescent="0.3">
      <c r="A19" s="22" t="s">
        <v>23</v>
      </c>
      <c r="B19" s="17"/>
      <c r="C19" s="17"/>
      <c r="D19" s="17"/>
      <c r="E19" s="17"/>
    </row>
    <row r="20" spans="1:5" ht="22.05" customHeight="1" x14ac:dyDescent="0.3">
      <c r="A20" s="3" t="s">
        <v>24</v>
      </c>
      <c r="B20" s="3" t="s">
        <v>9</v>
      </c>
      <c r="C20" s="3" t="s">
        <v>25</v>
      </c>
      <c r="D20" s="3" t="s">
        <v>11</v>
      </c>
      <c r="E20" s="3" t="s">
        <v>26</v>
      </c>
    </row>
    <row r="21" spans="1:5" ht="30" customHeight="1" x14ac:dyDescent="0.3">
      <c r="A21" s="5">
        <v>1</v>
      </c>
      <c r="B21" s="11" t="s">
        <v>27</v>
      </c>
      <c r="C21" s="12" t="s">
        <v>28</v>
      </c>
      <c r="D21" s="13" t="s">
        <v>29</v>
      </c>
      <c r="E21" s="14"/>
    </row>
    <row r="22" spans="1:5" ht="30" customHeight="1" x14ac:dyDescent="0.3">
      <c r="A22" s="5">
        <v>2</v>
      </c>
      <c r="B22" s="11" t="s">
        <v>27</v>
      </c>
      <c r="C22" s="12" t="s">
        <v>30</v>
      </c>
      <c r="D22" s="13" t="s">
        <v>29</v>
      </c>
      <c r="E22" s="14" t="s">
        <v>31</v>
      </c>
    </row>
    <row r="23" spans="1:5" ht="30" customHeight="1" x14ac:dyDescent="0.3">
      <c r="A23" s="5">
        <v>3</v>
      </c>
      <c r="B23" s="11" t="s">
        <v>27</v>
      </c>
      <c r="C23" s="12" t="s">
        <v>32</v>
      </c>
      <c r="D23" s="15" t="s">
        <v>33</v>
      </c>
      <c r="E23" s="14" t="s">
        <v>34</v>
      </c>
    </row>
    <row r="24" spans="1:5" ht="30" customHeight="1" x14ac:dyDescent="0.3">
      <c r="A24" s="5">
        <v>4</v>
      </c>
      <c r="B24" s="11" t="s">
        <v>27</v>
      </c>
      <c r="C24" s="12" t="s">
        <v>35</v>
      </c>
      <c r="D24" s="15" t="s">
        <v>33</v>
      </c>
      <c r="E24" s="14"/>
    </row>
    <row r="25" spans="1:5" ht="30" customHeight="1" x14ac:dyDescent="0.3">
      <c r="A25" s="5">
        <v>5</v>
      </c>
      <c r="B25" s="11" t="s">
        <v>27</v>
      </c>
      <c r="C25" s="12" t="s">
        <v>36</v>
      </c>
      <c r="D25" s="13" t="s">
        <v>29</v>
      </c>
      <c r="E25" s="14"/>
    </row>
    <row r="26" spans="1:5" ht="30" customHeight="1" x14ac:dyDescent="0.3">
      <c r="A26" s="5">
        <v>6</v>
      </c>
      <c r="B26" s="11" t="s">
        <v>27</v>
      </c>
      <c r="C26" s="12" t="s">
        <v>37</v>
      </c>
      <c r="D26" s="15" t="s">
        <v>33</v>
      </c>
      <c r="E26" s="14" t="s">
        <v>38</v>
      </c>
    </row>
    <row r="27" spans="1:5" ht="30" customHeight="1" x14ac:dyDescent="0.3">
      <c r="A27" s="5">
        <v>7</v>
      </c>
      <c r="B27" s="11" t="s">
        <v>39</v>
      </c>
      <c r="C27" s="12" t="s">
        <v>40</v>
      </c>
      <c r="D27" s="13" t="s">
        <v>29</v>
      </c>
      <c r="E27" s="14" t="s">
        <v>41</v>
      </c>
    </row>
    <row r="28" spans="1:5" ht="30" customHeight="1" x14ac:dyDescent="0.3">
      <c r="A28" s="5">
        <v>8</v>
      </c>
      <c r="B28" s="11" t="s">
        <v>39</v>
      </c>
      <c r="C28" s="12" t="s">
        <v>42</v>
      </c>
      <c r="D28" s="13" t="s">
        <v>29</v>
      </c>
      <c r="E28" s="14"/>
    </row>
    <row r="29" spans="1:5" ht="30" customHeight="1" x14ac:dyDescent="0.3">
      <c r="A29" s="5">
        <v>9</v>
      </c>
      <c r="B29" s="11" t="s">
        <v>39</v>
      </c>
      <c r="C29" s="12" t="s">
        <v>43</v>
      </c>
      <c r="D29" s="13" t="s">
        <v>29</v>
      </c>
      <c r="E29" s="14"/>
    </row>
    <row r="30" spans="1:5" ht="30" customHeight="1" x14ac:dyDescent="0.3">
      <c r="A30" s="5">
        <v>10</v>
      </c>
      <c r="B30" s="11" t="s">
        <v>39</v>
      </c>
      <c r="C30" s="12" t="s">
        <v>44</v>
      </c>
      <c r="D30" s="13" t="s">
        <v>29</v>
      </c>
      <c r="E30" s="14"/>
    </row>
    <row r="31" spans="1:5" ht="30" customHeight="1" x14ac:dyDescent="0.3">
      <c r="A31" s="5">
        <v>11</v>
      </c>
      <c r="B31" s="11" t="s">
        <v>39</v>
      </c>
      <c r="C31" s="12" t="s">
        <v>45</v>
      </c>
      <c r="D31" s="13" t="s">
        <v>29</v>
      </c>
      <c r="E31" s="14"/>
    </row>
    <row r="32" spans="1:5" ht="30" customHeight="1" x14ac:dyDescent="0.3">
      <c r="A32" s="5">
        <v>12</v>
      </c>
      <c r="B32" s="11" t="s">
        <v>39</v>
      </c>
      <c r="C32" s="12" t="s">
        <v>46</v>
      </c>
      <c r="D32" s="15" t="s">
        <v>33</v>
      </c>
      <c r="E32" s="14" t="s">
        <v>47</v>
      </c>
    </row>
    <row r="33" spans="1:5" ht="30" customHeight="1" x14ac:dyDescent="0.3">
      <c r="A33" s="5">
        <v>13</v>
      </c>
      <c r="B33" s="11" t="s">
        <v>48</v>
      </c>
      <c r="C33" s="12" t="s">
        <v>49</v>
      </c>
      <c r="D33" s="15" t="s">
        <v>33</v>
      </c>
      <c r="E33" s="14" t="s">
        <v>50</v>
      </c>
    </row>
    <row r="34" spans="1:5" ht="30" customHeight="1" x14ac:dyDescent="0.3">
      <c r="A34" s="5">
        <v>14</v>
      </c>
      <c r="B34" s="11" t="s">
        <v>48</v>
      </c>
      <c r="C34" s="12" t="s">
        <v>51</v>
      </c>
      <c r="D34" s="13" t="s">
        <v>29</v>
      </c>
      <c r="E34" s="14" t="s">
        <v>52</v>
      </c>
    </row>
    <row r="35" spans="1:5" ht="30" customHeight="1" x14ac:dyDescent="0.3">
      <c r="A35" s="5">
        <v>15</v>
      </c>
      <c r="B35" s="11" t="s">
        <v>48</v>
      </c>
      <c r="C35" s="12" t="s">
        <v>53</v>
      </c>
      <c r="D35" s="13" t="s">
        <v>29</v>
      </c>
      <c r="E35" s="14"/>
    </row>
    <row r="36" spans="1:5" ht="30" customHeight="1" x14ac:dyDescent="0.3">
      <c r="A36" s="5">
        <v>16</v>
      </c>
      <c r="B36" s="11" t="s">
        <v>48</v>
      </c>
      <c r="C36" s="12" t="s">
        <v>54</v>
      </c>
      <c r="D36" s="13" t="s">
        <v>29</v>
      </c>
      <c r="E36" s="14"/>
    </row>
    <row r="37" spans="1:5" ht="30" customHeight="1" x14ac:dyDescent="0.3">
      <c r="A37" s="5">
        <v>17</v>
      </c>
      <c r="B37" s="11" t="s">
        <v>48</v>
      </c>
      <c r="C37" s="12" t="s">
        <v>55</v>
      </c>
      <c r="D37" s="13" t="s">
        <v>29</v>
      </c>
      <c r="E37" s="14"/>
    </row>
    <row r="38" spans="1:5" ht="30" customHeight="1" x14ac:dyDescent="0.3">
      <c r="A38" s="5">
        <v>18</v>
      </c>
      <c r="B38" s="11" t="s">
        <v>48</v>
      </c>
      <c r="C38" s="12" t="s">
        <v>56</v>
      </c>
      <c r="D38" s="13" t="s">
        <v>29</v>
      </c>
      <c r="E38" s="14"/>
    </row>
    <row r="39" spans="1:5" ht="30" customHeight="1" x14ac:dyDescent="0.3">
      <c r="A39" s="5">
        <v>19</v>
      </c>
      <c r="B39" s="11" t="s">
        <v>48</v>
      </c>
      <c r="C39" s="12" t="s">
        <v>57</v>
      </c>
      <c r="D39" s="15" t="s">
        <v>33</v>
      </c>
      <c r="E39" s="14" t="s">
        <v>58</v>
      </c>
    </row>
    <row r="40" spans="1:5" ht="30" customHeight="1" x14ac:dyDescent="0.3">
      <c r="A40" s="5">
        <v>20</v>
      </c>
      <c r="B40" s="11" t="s">
        <v>59</v>
      </c>
      <c r="C40" s="12" t="s">
        <v>60</v>
      </c>
      <c r="D40" s="13" t="s">
        <v>29</v>
      </c>
      <c r="E40" s="14" t="s">
        <v>61</v>
      </c>
    </row>
    <row r="41" spans="1:5" ht="30" customHeight="1" x14ac:dyDescent="0.3">
      <c r="A41" s="5">
        <v>21</v>
      </c>
      <c r="B41" s="11" t="s">
        <v>59</v>
      </c>
      <c r="C41" s="12" t="s">
        <v>62</v>
      </c>
      <c r="D41" s="13" t="s">
        <v>29</v>
      </c>
      <c r="E41" s="14" t="s">
        <v>52</v>
      </c>
    </row>
    <row r="42" spans="1:5" ht="30" customHeight="1" x14ac:dyDescent="0.3">
      <c r="A42" s="5">
        <v>22</v>
      </c>
      <c r="B42" s="11" t="s">
        <v>59</v>
      </c>
      <c r="C42" s="12" t="s">
        <v>63</v>
      </c>
      <c r="D42" s="13" t="s">
        <v>29</v>
      </c>
      <c r="E42" s="14" t="s">
        <v>64</v>
      </c>
    </row>
    <row r="43" spans="1:5" ht="30" customHeight="1" x14ac:dyDescent="0.3">
      <c r="A43" s="5">
        <v>23</v>
      </c>
      <c r="B43" s="11" t="s">
        <v>59</v>
      </c>
      <c r="C43" s="12" t="s">
        <v>65</v>
      </c>
      <c r="D43" s="15" t="s">
        <v>33</v>
      </c>
      <c r="E43" s="14"/>
    </row>
    <row r="44" spans="1:5" ht="30" customHeight="1" x14ac:dyDescent="0.3">
      <c r="A44" s="5">
        <v>24</v>
      </c>
      <c r="B44" s="11" t="s">
        <v>59</v>
      </c>
      <c r="C44" s="12" t="s">
        <v>66</v>
      </c>
      <c r="D44" s="13" t="s">
        <v>29</v>
      </c>
      <c r="E44" s="14"/>
    </row>
    <row r="45" spans="1:5" ht="30" customHeight="1" x14ac:dyDescent="0.3">
      <c r="A45" s="5">
        <v>25</v>
      </c>
      <c r="B45" s="11" t="s">
        <v>59</v>
      </c>
      <c r="C45" s="12" t="s">
        <v>67</v>
      </c>
      <c r="D45" s="15" t="s">
        <v>33</v>
      </c>
      <c r="E45" s="14"/>
    </row>
    <row r="46" spans="1:5" ht="30" customHeight="1" x14ac:dyDescent="0.3">
      <c r="A46" s="5">
        <v>26</v>
      </c>
      <c r="B46" s="11" t="s">
        <v>59</v>
      </c>
      <c r="C46" s="12" t="s">
        <v>68</v>
      </c>
      <c r="D46" s="15" t="s">
        <v>33</v>
      </c>
      <c r="E46" s="14" t="s">
        <v>69</v>
      </c>
    </row>
    <row r="47" spans="1:5" ht="30" customHeight="1" x14ac:dyDescent="0.3">
      <c r="A47" s="5">
        <v>27</v>
      </c>
      <c r="B47" s="11" t="s">
        <v>70</v>
      </c>
      <c r="C47" s="12" t="s">
        <v>71</v>
      </c>
      <c r="D47" s="13" t="s">
        <v>29</v>
      </c>
      <c r="E47" s="14"/>
    </row>
    <row r="48" spans="1:5" ht="30" customHeight="1" x14ac:dyDescent="0.3">
      <c r="A48" s="5">
        <v>28</v>
      </c>
      <c r="B48" s="11" t="s">
        <v>70</v>
      </c>
      <c r="C48" s="12" t="s">
        <v>72</v>
      </c>
      <c r="D48" s="15" t="s">
        <v>33</v>
      </c>
      <c r="E48" s="14"/>
    </row>
    <row r="49" spans="1:5" ht="30" customHeight="1" x14ac:dyDescent="0.3">
      <c r="A49" s="5">
        <v>29</v>
      </c>
      <c r="B49" s="11" t="s">
        <v>70</v>
      </c>
      <c r="C49" s="12" t="s">
        <v>73</v>
      </c>
      <c r="D49" s="15" t="s">
        <v>33</v>
      </c>
      <c r="E49" s="14"/>
    </row>
    <row r="50" spans="1:5" ht="30" customHeight="1" x14ac:dyDescent="0.3">
      <c r="A50" s="5">
        <v>30</v>
      </c>
      <c r="B50" s="11" t="s">
        <v>70</v>
      </c>
      <c r="C50" s="12" t="s">
        <v>74</v>
      </c>
      <c r="D50" s="15" t="s">
        <v>33</v>
      </c>
      <c r="E50" s="14"/>
    </row>
    <row r="51" spans="1:5" ht="30" customHeight="1" x14ac:dyDescent="0.3">
      <c r="A51" s="5">
        <v>31</v>
      </c>
      <c r="B51" s="11" t="s">
        <v>70</v>
      </c>
      <c r="C51" s="12" t="s">
        <v>75</v>
      </c>
      <c r="D51" s="13" t="s">
        <v>29</v>
      </c>
      <c r="E51" s="14"/>
    </row>
    <row r="52" spans="1:5" ht="30" customHeight="1" x14ac:dyDescent="0.3">
      <c r="A52" s="5">
        <v>32</v>
      </c>
      <c r="B52" s="11" t="s">
        <v>70</v>
      </c>
      <c r="C52" s="12" t="s">
        <v>76</v>
      </c>
      <c r="D52" s="13" t="s">
        <v>29</v>
      </c>
      <c r="E52" s="14" t="s">
        <v>77</v>
      </c>
    </row>
    <row r="53" spans="1:5" ht="30" customHeight="1" x14ac:dyDescent="0.3">
      <c r="A53" s="5">
        <v>33</v>
      </c>
      <c r="B53" s="11" t="s">
        <v>78</v>
      </c>
      <c r="C53" s="12" t="s">
        <v>79</v>
      </c>
      <c r="D53" s="15" t="s">
        <v>33</v>
      </c>
      <c r="E53" s="14" t="s">
        <v>80</v>
      </c>
    </row>
    <row r="54" spans="1:5" ht="30" customHeight="1" x14ac:dyDescent="0.3">
      <c r="A54" s="5">
        <v>34</v>
      </c>
      <c r="B54" s="11" t="s">
        <v>78</v>
      </c>
      <c r="C54" s="12" t="s">
        <v>81</v>
      </c>
      <c r="D54" s="15" t="s">
        <v>33</v>
      </c>
      <c r="E54" s="14"/>
    </row>
    <row r="55" spans="1:5" ht="30" customHeight="1" x14ac:dyDescent="0.3">
      <c r="A55" s="5">
        <v>35</v>
      </c>
      <c r="B55" s="11" t="s">
        <v>78</v>
      </c>
      <c r="C55" s="12" t="s">
        <v>82</v>
      </c>
      <c r="D55" s="15" t="s">
        <v>33</v>
      </c>
      <c r="E55" s="14" t="s">
        <v>83</v>
      </c>
    </row>
    <row r="56" spans="1:5" ht="30" customHeight="1" x14ac:dyDescent="0.3">
      <c r="A56" s="5">
        <v>36</v>
      </c>
      <c r="B56" s="11" t="s">
        <v>78</v>
      </c>
      <c r="C56" s="12" t="s">
        <v>84</v>
      </c>
      <c r="D56" s="13" t="s">
        <v>29</v>
      </c>
      <c r="E56" s="14" t="s">
        <v>85</v>
      </c>
    </row>
    <row r="57" spans="1:5" ht="30" customHeight="1" x14ac:dyDescent="0.3">
      <c r="A57" s="5">
        <v>37</v>
      </c>
      <c r="B57" s="11" t="s">
        <v>78</v>
      </c>
      <c r="C57" s="12" t="s">
        <v>86</v>
      </c>
      <c r="D57" s="13" t="s">
        <v>29</v>
      </c>
      <c r="E57" s="14"/>
    </row>
    <row r="58" spans="1:5" ht="30" customHeight="1" x14ac:dyDescent="0.3">
      <c r="A58" s="5">
        <v>38</v>
      </c>
      <c r="B58" s="11" t="s">
        <v>78</v>
      </c>
      <c r="C58" s="12" t="s">
        <v>87</v>
      </c>
      <c r="D58" s="15" t="s">
        <v>33</v>
      </c>
      <c r="E58" s="14"/>
    </row>
    <row r="59" spans="1:5" ht="30" customHeight="1" x14ac:dyDescent="0.3">
      <c r="A59" s="5">
        <v>39</v>
      </c>
      <c r="B59" s="11" t="s">
        <v>88</v>
      </c>
      <c r="C59" s="12" t="s">
        <v>89</v>
      </c>
      <c r="D59" s="15" t="s">
        <v>33</v>
      </c>
      <c r="E59" s="14" t="s">
        <v>90</v>
      </c>
    </row>
    <row r="60" spans="1:5" ht="30" customHeight="1" x14ac:dyDescent="0.3">
      <c r="A60" s="5">
        <v>40</v>
      </c>
      <c r="B60" s="11" t="s">
        <v>88</v>
      </c>
      <c r="C60" s="12" t="s">
        <v>91</v>
      </c>
      <c r="D60" s="13" t="s">
        <v>29</v>
      </c>
      <c r="E60" s="14"/>
    </row>
    <row r="61" spans="1:5" ht="30" customHeight="1" x14ac:dyDescent="0.3">
      <c r="A61" s="5">
        <v>41</v>
      </c>
      <c r="B61" s="11" t="s">
        <v>88</v>
      </c>
      <c r="C61" s="12" t="s">
        <v>92</v>
      </c>
      <c r="D61" s="13" t="s">
        <v>29</v>
      </c>
      <c r="E61" s="14" t="s">
        <v>93</v>
      </c>
    </row>
    <row r="62" spans="1:5" ht="30" customHeight="1" x14ac:dyDescent="0.3">
      <c r="A62" s="5">
        <v>42</v>
      </c>
      <c r="B62" s="11" t="s">
        <v>88</v>
      </c>
      <c r="C62" s="12" t="s">
        <v>94</v>
      </c>
      <c r="D62" s="13" t="s">
        <v>29</v>
      </c>
      <c r="E62" s="14"/>
    </row>
    <row r="63" spans="1:5" ht="30" customHeight="1" x14ac:dyDescent="0.3">
      <c r="A63" s="5">
        <v>43</v>
      </c>
      <c r="B63" s="11" t="s">
        <v>88</v>
      </c>
      <c r="C63" s="12" t="s">
        <v>95</v>
      </c>
      <c r="D63" s="15" t="s">
        <v>33</v>
      </c>
      <c r="E63" s="14"/>
    </row>
    <row r="64" spans="1:5" ht="30" customHeight="1" x14ac:dyDescent="0.3">
      <c r="A64" s="5">
        <v>44</v>
      </c>
      <c r="B64" s="11" t="s">
        <v>88</v>
      </c>
      <c r="C64" s="12" t="s">
        <v>96</v>
      </c>
      <c r="D64" s="15" t="s">
        <v>33</v>
      </c>
      <c r="E64" s="14"/>
    </row>
    <row r="65" spans="1:5" ht="30" customHeight="1" x14ac:dyDescent="0.3">
      <c r="A65" s="5">
        <v>45</v>
      </c>
      <c r="B65" s="11" t="s">
        <v>97</v>
      </c>
      <c r="C65" s="12" t="s">
        <v>98</v>
      </c>
      <c r="D65" s="13" t="s">
        <v>29</v>
      </c>
      <c r="E65" s="14"/>
    </row>
    <row r="66" spans="1:5" ht="30" customHeight="1" x14ac:dyDescent="0.3">
      <c r="A66" s="5">
        <v>46</v>
      </c>
      <c r="B66" s="11" t="s">
        <v>97</v>
      </c>
      <c r="C66" s="12" t="s">
        <v>99</v>
      </c>
      <c r="D66" s="13" t="s">
        <v>29</v>
      </c>
      <c r="E66" s="14"/>
    </row>
    <row r="67" spans="1:5" ht="30" customHeight="1" x14ac:dyDescent="0.3">
      <c r="A67" s="5">
        <v>47</v>
      </c>
      <c r="B67" s="11" t="s">
        <v>97</v>
      </c>
      <c r="C67" s="12" t="s">
        <v>100</v>
      </c>
      <c r="D67" s="15" t="s">
        <v>33</v>
      </c>
      <c r="E67" s="14" t="s">
        <v>101</v>
      </c>
    </row>
    <row r="68" spans="1:5" ht="30" customHeight="1" x14ac:dyDescent="0.3">
      <c r="A68" s="5">
        <v>48</v>
      </c>
      <c r="B68" s="11" t="s">
        <v>97</v>
      </c>
      <c r="C68" s="12" t="s">
        <v>102</v>
      </c>
      <c r="D68" s="13" t="s">
        <v>29</v>
      </c>
      <c r="E68" s="14"/>
    </row>
    <row r="69" spans="1:5" ht="30" customHeight="1" x14ac:dyDescent="0.3">
      <c r="A69" s="5">
        <v>49</v>
      </c>
      <c r="B69" s="11" t="s">
        <v>97</v>
      </c>
      <c r="C69" s="12" t="s">
        <v>103</v>
      </c>
      <c r="D69" s="13" t="s">
        <v>29</v>
      </c>
      <c r="E69" s="14"/>
    </row>
    <row r="70" spans="1:5" ht="30" customHeight="1" x14ac:dyDescent="0.3">
      <c r="A70" s="5">
        <v>50</v>
      </c>
      <c r="B70" s="11" t="s">
        <v>97</v>
      </c>
      <c r="C70" s="12" t="s">
        <v>104</v>
      </c>
      <c r="D70" s="15" t="s">
        <v>33</v>
      </c>
      <c r="E70" s="14"/>
    </row>
    <row r="72" spans="1:5" ht="34.049999999999997" customHeight="1" x14ac:dyDescent="0.3">
      <c r="A72" s="21" t="s">
        <v>105</v>
      </c>
      <c r="B72" s="17"/>
      <c r="C72" s="17"/>
      <c r="D72" s="17"/>
      <c r="E72" s="17"/>
    </row>
  </sheetData>
  <mergeCells count="8">
    <mergeCell ref="A72:E72"/>
    <mergeCell ref="A7:E7"/>
    <mergeCell ref="A19:E19"/>
    <mergeCell ref="A1:E1"/>
    <mergeCell ref="B3:E3"/>
    <mergeCell ref="B5:E5"/>
    <mergeCell ref="B4:E4"/>
    <mergeCell ref="A2:E2"/>
  </mergeCells>
  <conditionalFormatting sqref="E9:E16">
    <cfRule type="cellIs" dxfId="2" priority="1" operator="lessThan">
      <formula>0.3</formula>
    </cfRule>
    <cfRule type="cellIs" dxfId="1" priority="2" operator="between">
      <formula>0.3</formula>
      <formula>0.6</formula>
    </cfRule>
    <cfRule type="cellIs" dxfId="0" priority="3" operator="greaterThan">
      <formula>0.6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ALEXANDER CANCHIZ SANCHEZ</cp:lastModifiedBy>
  <dcterms:created xsi:type="dcterms:W3CDTF">2026-08-31T17:06:47Z</dcterms:created>
  <dcterms:modified xsi:type="dcterms:W3CDTF">2026-08-31T17:25:22Z</dcterms:modified>
</cp:coreProperties>
</file>