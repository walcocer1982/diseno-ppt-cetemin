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Anexo de 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+0.0%;\-0.0%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000000"/>
      <sz val="10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color rgb="FF000000"/>
      <sz val="8"/>
    </font>
    <font>
      <name val="Calibri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2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9" fontId="8" fillId="6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8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tabSelected="1" workbookViewId="0">
      <selection activeCell="A1" sqref="A1:E1"/>
    </sheetView>
  </sheetViews>
  <sheetFormatPr baseColWidth="10" defaultColWidth="8.88671875" defaultRowHeight="14.4"/>
  <cols>
    <col width="46" customWidth="1" style="21" min="1" max="1"/>
    <col width="16" customWidth="1" style="21" min="2" max="3"/>
    <col width="18" customWidth="1" style="21" min="4" max="4"/>
    <col width="46" customWidth="1" style="21" min="5" max="5"/>
  </cols>
  <sheetData>
    <row r="1" ht="25.95" customHeight="1" s="21">
      <c r="A1" s="25" t="inlineStr">
        <is>
          <t>ANEXO DE DATOS DEL CASO 2</t>
        </is>
      </c>
      <c r="B1" s="27" t="n"/>
      <c r="C1" s="27" t="n"/>
      <c r="D1" s="27" t="n"/>
      <c r="E1" s="28" t="n"/>
    </row>
    <row r="2">
      <c r="A2" s="1" t="inlineStr">
        <is>
          <t>Empresa:</t>
        </is>
      </c>
      <c r="B2" s="26" t="inlineStr">
        <is>
          <t>Servicios Mineros Huanza S.A.C.</t>
        </is>
      </c>
      <c r="C2" s="27" t="n"/>
      <c r="D2" s="27" t="n"/>
      <c r="E2" s="28" t="n"/>
    </row>
    <row r="3">
      <c r="A3" s="1" t="inlineStr">
        <is>
          <t>Actividad:</t>
        </is>
      </c>
      <c r="B3" s="22" t="inlineStr">
        <is>
          <t>Mantenimiento mecánico · planta concentradora</t>
        </is>
      </c>
      <c r="C3" s="27" t="n"/>
      <c r="D3" s="27" t="n"/>
      <c r="E3" s="28" t="n"/>
    </row>
    <row r="4">
      <c r="A4" s="1" t="inlineStr">
        <is>
          <t>Periodo:</t>
        </is>
      </c>
      <c r="B4" s="22" t="inlineStr">
        <is>
          <t>Año 1 (año del caso 1) comparado con el año 2 (cierre del ejercicio)</t>
        </is>
      </c>
      <c r="C4" s="27" t="n"/>
      <c r="D4" s="27" t="n"/>
      <c r="E4" s="28" t="n"/>
    </row>
    <row r="5"/>
    <row r="6">
      <c r="A6" s="24" t="inlineStr">
        <is>
          <t>CUADRO 1 · ESTADÍSTICAS DE SEGURIDAD Y SALUD EN EL TRABAJO</t>
        </is>
      </c>
      <c r="B6" s="27" t="n"/>
      <c r="C6" s="27" t="n"/>
      <c r="D6" s="27" t="n"/>
      <c r="E6" s="28" t="n"/>
    </row>
    <row r="7">
      <c r="A7" s="3" t="inlineStr">
        <is>
          <t>CONCEPTO</t>
        </is>
      </c>
      <c r="B7" s="3" t="inlineStr">
        <is>
          <t>AÑO 1</t>
        </is>
      </c>
      <c r="C7" s="3" t="inlineStr">
        <is>
          <t>AÑO 2</t>
        </is>
      </c>
      <c r="D7" s="3" t="inlineStr">
        <is>
          <t>VARIACIÓN</t>
        </is>
      </c>
      <c r="E7" s="3" t="n"/>
    </row>
    <row r="8">
      <c r="A8" s="20" t="inlineStr">
        <is>
          <t>Trabajadores en planilla</t>
        </is>
      </c>
      <c r="B8" s="5" t="n">
        <v>78</v>
      </c>
      <c r="C8" s="5" t="n">
        <v>92</v>
      </c>
      <c r="D8" s="6" t="n">
        <v>0.1794871794871795</v>
      </c>
      <c r="E8" s="22" t="n"/>
    </row>
    <row r="9">
      <c r="A9" s="20" t="inlineStr">
        <is>
          <t>Horas-hombre trabajadas (HHT)</t>
        </is>
      </c>
      <c r="B9" s="7" t="n">
        <v>187200</v>
      </c>
      <c r="C9" s="7" t="n">
        <v>220800</v>
      </c>
      <c r="D9" s="6" t="n">
        <v>0.1794871794871795</v>
      </c>
      <c r="E9" s="22" t="n"/>
    </row>
    <row r="10">
      <c r="A10" s="20" t="inlineStr">
        <is>
          <t>Accidentes de trabajo registrados</t>
        </is>
      </c>
      <c r="B10" s="5" t="n">
        <v>6</v>
      </c>
      <c r="C10" s="5" t="n">
        <v>4</v>
      </c>
      <c r="D10" s="6" t="n">
        <v>-0.3333333333333333</v>
      </c>
      <c r="E10" s="22" t="n"/>
    </row>
    <row r="11">
      <c r="A11" s="20" t="inlineStr">
        <is>
          <t>Días perdidos por descanso médico</t>
        </is>
      </c>
      <c r="B11" s="5" t="n">
        <v>42</v>
      </c>
      <c r="C11" s="5" t="n">
        <v>118</v>
      </c>
      <c r="D11" s="6" t="n">
        <v>1.80952380952381</v>
      </c>
      <c r="E11" s="22" t="n"/>
    </row>
    <row r="12">
      <c r="A12" s="8" t="inlineStr">
        <is>
          <t>Incidentes reportados</t>
        </is>
      </c>
      <c r="B12" s="9" t="n">
        <v>34</v>
      </c>
      <c r="C12" s="9" t="n">
        <v>9</v>
      </c>
      <c r="D12" s="10" t="n">
        <v>-0.7352941176470589</v>
      </c>
      <c r="E12" s="11" t="n"/>
    </row>
    <row r="13">
      <c r="A13" s="8" t="inlineStr">
        <is>
          <t>Índice de frecuencia (IF)</t>
        </is>
      </c>
      <c r="B13" s="12" t="n">
        <v>32.05128205128205</v>
      </c>
      <c r="C13" s="12" t="n">
        <v>18.11594202898551</v>
      </c>
      <c r="D13" s="10" t="n">
        <v>-0.4347826086956522</v>
      </c>
      <c r="E13" s="11" t="n"/>
    </row>
    <row r="14">
      <c r="A14" s="8" t="inlineStr">
        <is>
          <t>Índice de severidad (IS)</t>
        </is>
      </c>
      <c r="B14" s="12" t="n">
        <v>224.3589743589744</v>
      </c>
      <c r="C14" s="12" t="n">
        <v>534.4202898550725</v>
      </c>
      <c r="D14" s="10" t="n">
        <v>1.381987577639752</v>
      </c>
      <c r="E14" s="11" t="n"/>
    </row>
    <row r="15">
      <c r="A15" s="8" t="inlineStr">
        <is>
          <t>Índice de accidentabilidad (IA)</t>
        </is>
      </c>
      <c r="B15" s="12" t="n">
        <v>17.12885544407284</v>
      </c>
      <c r="C15" s="12" t="n">
        <v>9.681526990128125</v>
      </c>
      <c r="D15" s="10" t="n">
        <v>-0.4347826086956522</v>
      </c>
      <c r="E15" s="11" t="n"/>
    </row>
    <row r="16">
      <c r="A16" s="30" t="inlineStr">
        <is>
          <t>IF = accidentes × 1 000 000 / HHT   ·   IS = días perdidos × 1 000 000 / HHT   ·   IA = IF × IS / 1000.  Verificar las fórmulas y la constante contra el DS 024-2016-EM vigente.</t>
        </is>
      </c>
      <c r="B16" s="27" t="n"/>
      <c r="C16" s="27" t="n"/>
      <c r="D16" s="27" t="n"/>
      <c r="E16" s="28" t="n"/>
    </row>
    <row r="17"/>
    <row r="18">
      <c r="A18" s="24" t="inlineStr">
        <is>
          <t>CUADRO 2 · CUMPLIMIENTO DEL PROGRAMA ANUAL DE SST (AÑO 2)</t>
        </is>
      </c>
      <c r="B18" s="27" t="n"/>
      <c r="C18" s="27" t="n"/>
      <c r="D18" s="27" t="n"/>
      <c r="E18" s="28" t="n"/>
    </row>
    <row r="19">
      <c r="A19" s="3" t="inlineStr">
        <is>
          <t>ACTIVIDAD</t>
        </is>
      </c>
      <c r="B19" s="3" t="inlineStr">
        <is>
          <t>PROGRAMADO</t>
        </is>
      </c>
      <c r="C19" s="3" t="inlineStr">
        <is>
          <t>EJECUTADO</t>
        </is>
      </c>
      <c r="D19" s="3" t="inlineStr">
        <is>
          <t>% CUMPLIMIENTO</t>
        </is>
      </c>
      <c r="E19" s="3" t="n"/>
    </row>
    <row r="20">
      <c r="A20" s="20" t="inlineStr">
        <is>
          <t>Capacitaciones de SST</t>
        </is>
      </c>
      <c r="B20" s="13" t="n">
        <v>12</v>
      </c>
      <c r="C20" s="13" t="n">
        <v>5</v>
      </c>
      <c r="D20" s="14" t="n">
        <v>0.4166666666666667</v>
      </c>
      <c r="E20" s="22" t="n"/>
    </row>
    <row r="21">
      <c r="A21" s="20" t="inlineStr">
        <is>
          <t>Inspecciones internas</t>
        </is>
      </c>
      <c r="B21" s="13" t="n">
        <v>24</v>
      </c>
      <c r="C21" s="13" t="n">
        <v>21</v>
      </c>
      <c r="D21" s="15" t="n">
        <v>0.875</v>
      </c>
      <c r="E21" s="22" t="n"/>
    </row>
    <row r="22">
      <c r="A22" s="20" t="inlineStr">
        <is>
          <t>Simulacros de emergencia</t>
        </is>
      </c>
      <c r="B22" s="13" t="n">
        <v>4</v>
      </c>
      <c r="C22" s="13" t="n">
        <v>1</v>
      </c>
      <c r="D22" s="14" t="n">
        <v>0.25</v>
      </c>
      <c r="E22" s="22" t="n"/>
    </row>
    <row r="23">
      <c r="A23" s="20" t="inlineStr">
        <is>
          <t>Auditoría interna del SGSST</t>
        </is>
      </c>
      <c r="B23" s="13" t="n">
        <v>1</v>
      </c>
      <c r="C23" s="13" t="n">
        <v>0</v>
      </c>
      <c r="D23" s="14" t="n">
        <v>0</v>
      </c>
      <c r="E23" s="22" t="n"/>
    </row>
    <row r="24">
      <c r="A24" s="20" t="inlineStr">
        <is>
          <t>Reuniones del comité de SST</t>
        </is>
      </c>
      <c r="B24" s="13" t="n">
        <v>12</v>
      </c>
      <c r="C24" s="13" t="n">
        <v>11</v>
      </c>
      <c r="D24" s="16" t="n">
        <v>0.9166666666666666</v>
      </c>
      <c r="E24" s="22" t="n"/>
    </row>
    <row r="25">
      <c r="A25" s="20" t="inlineStr">
        <is>
          <t>Revisión por la dirección</t>
        </is>
      </c>
      <c r="B25" s="13" t="n">
        <v>2</v>
      </c>
      <c r="C25" s="13" t="n">
        <v>0</v>
      </c>
      <c r="D25" s="14" t="n">
        <v>0</v>
      </c>
      <c r="E25" s="22" t="n"/>
    </row>
    <row r="26"/>
    <row r="27"/>
    <row r="28">
      <c r="A28" s="24" t="inlineStr">
        <is>
          <t>CUADRO 3 · DIAGNÓSTICO DE LÍNEA BASE — COMPARADO</t>
        </is>
      </c>
      <c r="B28" s="27" t="n"/>
      <c r="C28" s="27" t="n"/>
      <c r="D28" s="27" t="n"/>
      <c r="E28" s="28" t="n"/>
    </row>
    <row r="29">
      <c r="A29" s="3" t="inlineStr">
        <is>
          <t>LINEAMIENTO</t>
        </is>
      </c>
      <c r="B29" s="3" t="inlineStr">
        <is>
          <t>ÍTEMS</t>
        </is>
      </c>
      <c r="C29" s="3" t="inlineStr">
        <is>
          <t>AÑO 1</t>
        </is>
      </c>
      <c r="D29" s="3" t="inlineStr">
        <is>
          <t>AÑO 2</t>
        </is>
      </c>
      <c r="E29" s="3" t="inlineStr">
        <is>
          <t>% AÑO 2</t>
        </is>
      </c>
    </row>
    <row r="30">
      <c r="A30" s="20" t="inlineStr">
        <is>
          <t>I. Compromiso e involucramiento</t>
        </is>
      </c>
      <c r="B30" s="13" t="n">
        <v>6</v>
      </c>
      <c r="C30" s="13" t="n">
        <v>3</v>
      </c>
      <c r="D30" s="13" t="n">
        <v>5</v>
      </c>
      <c r="E30" s="16" t="n">
        <v>0.8333333333333334</v>
      </c>
    </row>
    <row r="31">
      <c r="A31" s="20" t="inlineStr">
        <is>
          <t>II. Política de SST</t>
        </is>
      </c>
      <c r="B31" s="13" t="n">
        <v>6</v>
      </c>
      <c r="C31" s="13" t="n">
        <v>1</v>
      </c>
      <c r="D31" s="13" t="n">
        <v>6</v>
      </c>
      <c r="E31" s="16" t="n">
        <v>1</v>
      </c>
    </row>
    <row r="32">
      <c r="A32" s="20" t="inlineStr">
        <is>
          <t>III. Planeamiento y aplicación</t>
        </is>
      </c>
      <c r="B32" s="13" t="n">
        <v>7</v>
      </c>
      <c r="C32" s="13" t="n">
        <v>2</v>
      </c>
      <c r="D32" s="13" t="n">
        <v>6</v>
      </c>
      <c r="E32" s="16" t="n">
        <v>0.8571428571428571</v>
      </c>
    </row>
    <row r="33">
      <c r="A33" s="20" t="inlineStr">
        <is>
          <t>IV. Implementación y operación</t>
        </is>
      </c>
      <c r="B33" s="13" t="n">
        <v>7</v>
      </c>
      <c r="C33" s="13" t="n">
        <v>3</v>
      </c>
      <c r="D33" s="13" t="n">
        <v>6</v>
      </c>
      <c r="E33" s="16" t="n">
        <v>0.8571428571428571</v>
      </c>
    </row>
    <row r="34">
      <c r="A34" s="20" t="inlineStr">
        <is>
          <t>V. Evaluación normativa</t>
        </is>
      </c>
      <c r="B34" s="13" t="n">
        <v>6</v>
      </c>
      <c r="C34" s="13" t="n">
        <v>3</v>
      </c>
      <c r="D34" s="13" t="n">
        <v>5</v>
      </c>
      <c r="E34" s="16" t="n">
        <v>0.8333333333333334</v>
      </c>
    </row>
    <row r="35">
      <c r="A35" s="20" t="inlineStr">
        <is>
          <t>VI. Verificación</t>
        </is>
      </c>
      <c r="B35" s="13" t="n">
        <v>6</v>
      </c>
      <c r="C35" s="13" t="n">
        <v>4</v>
      </c>
      <c r="D35" s="13" t="n">
        <v>4</v>
      </c>
      <c r="E35" s="15" t="n">
        <v>0.6666666666666666</v>
      </c>
    </row>
    <row r="36">
      <c r="A36" s="20" t="inlineStr">
        <is>
          <t>VII. Control de información y documentos</t>
        </is>
      </c>
      <c r="B36" s="13" t="n">
        <v>6</v>
      </c>
      <c r="C36" s="13" t="n">
        <v>3</v>
      </c>
      <c r="D36" s="13" t="n">
        <v>5</v>
      </c>
      <c r="E36" s="16" t="n">
        <v>0.8333333333333334</v>
      </c>
    </row>
    <row r="37">
      <c r="A37" s="20" t="inlineStr">
        <is>
          <t>VIII. Revisión por la dirección</t>
        </is>
      </c>
      <c r="B37" s="13" t="n">
        <v>6</v>
      </c>
      <c r="C37" s="13" t="n">
        <v>2</v>
      </c>
      <c r="D37" s="13" t="n">
        <v>2</v>
      </c>
      <c r="E37" s="14" t="n">
        <v>0.3333333333333333</v>
      </c>
    </row>
    <row r="38">
      <c r="A38" s="1" t="inlineStr">
        <is>
          <t>TOTAL</t>
        </is>
      </c>
      <c r="B38" s="17" t="n">
        <v>50</v>
      </c>
      <c r="C38" s="17">
        <f>SUM(C30:C37)</f>
        <v/>
      </c>
      <c r="D38" s="17">
        <f>SUM(D30:D37)</f>
        <v/>
      </c>
      <c r="E38" s="18">
        <f>D38/B38</f>
        <v/>
      </c>
    </row>
    <row r="39" ht="24" customHeight="1" s="21">
      <c r="A39" s="29" t="inlineStr">
        <is>
          <t>Resultado global del diagnóstico:  año 1 = 21 de 50 ítems = 42 %   ·   año 2 = 39 de 50 ítems = 78 %.   Es la cifra que el gerente colgó en el pasillo.</t>
        </is>
      </c>
    </row>
    <row r="40"/>
    <row r="41" ht="42" customHeight="1" s="21">
      <c r="A41" s="24" t="inlineStr">
        <is>
          <t>CUADRO 4 · HECHOS DEL AÑO</t>
        </is>
      </c>
      <c r="B41" s="28" t="n"/>
      <c r="C41" s="27" t="n"/>
      <c r="D41" s="27" t="n"/>
      <c r="E41" s="28" t="n"/>
    </row>
    <row r="42" ht="42" customHeight="1" s="21">
      <c r="A42" s="19" t="inlineStr">
        <is>
          <t>Accidente incapacitante · 14 de junio</t>
        </is>
      </c>
      <c r="B42" s="20" t="inlineStr">
        <is>
          <t>Un mecánico cae de distinto nivel mientras desmonta un motor sobre una plataforma improvisada. Descanso médico: 90 días. La tarea era no rutinaria y no figuraba en el IPERC vigente.</t>
        </is>
      </c>
      <c r="C42" s="27" t="n"/>
      <c r="D42" s="27" t="n"/>
      <c r="E42" s="28" t="n"/>
    </row>
    <row r="43" ht="42" customHeight="1" s="21">
      <c r="A43" s="19" t="inlineStr">
        <is>
          <t>Derrame ambiental · 3 de setiembre</t>
        </is>
      </c>
      <c r="B43" s="20" t="inlineStr">
        <is>
          <t>Se derraman 40 litros de aceite hidráulico en el taller. El fluido alcanza el canal de drenaje pluvial. El manejo de aceite usado no estaba identificado como aspecto ambiental significativo.</t>
        </is>
      </c>
      <c r="C43" s="27" t="n"/>
      <c r="D43" s="27" t="n"/>
      <c r="E43" s="28" t="n"/>
    </row>
    <row r="44">
      <c r="A44" s="19" t="inlineStr">
        <is>
          <t>Caída del reporte de incidentes</t>
        </is>
      </c>
      <c r="B44" s="20" t="inlineStr">
        <is>
          <t>Los incidentes reportados pasaron de 34 en el primer año a 9 en el segundo, con 14 trabajadores más en planilla.</t>
        </is>
      </c>
      <c r="C44" s="27" t="n"/>
      <c r="D44" s="27" t="n"/>
      <c r="E44" s="28" t="n"/>
    </row>
  </sheetData>
  <mergeCells count="13">
    <mergeCell ref="A39:E39"/>
    <mergeCell ref="B41:E41"/>
    <mergeCell ref="B4:E4"/>
    <mergeCell ref="A16:E16"/>
    <mergeCell ref="B43:E43"/>
    <mergeCell ref="A28:E28"/>
    <mergeCell ref="A1:E1"/>
    <mergeCell ref="B3:E3"/>
    <mergeCell ref="B2:E2"/>
    <mergeCell ref="A6:E6"/>
    <mergeCell ref="B42:E42"/>
    <mergeCell ref="A40:E40"/>
    <mergeCell ref="A18:E18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2026-08-31T17:38:47Z</dcterms:created>
  <dcterms:modified xmlns:dcterms="http://purl.org/dc/terms/" xmlns:xsi="http://www.w3.org/2001/XMLSchema-instance" xsi:type="dcterms:W3CDTF">2026-09-01T16:25:12Z</dcterms:modified>
  <cp:lastModifiedBy>JORGE ALEXANDER CANCHIZ SANCHEZ</cp:lastModifiedBy>
</cp:coreProperties>
</file>