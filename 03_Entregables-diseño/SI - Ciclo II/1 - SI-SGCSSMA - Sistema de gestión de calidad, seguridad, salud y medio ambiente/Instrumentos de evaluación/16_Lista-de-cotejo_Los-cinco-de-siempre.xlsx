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se us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1" sheetId="3" state="visible" r:id="rId3"/>
    <sheet xmlns:r="http://schemas.openxmlformats.org/officeDocument/2006/relationships" name="S2" sheetId="4" state="visible" r:id="rId4"/>
    <sheet xmlns:r="http://schemas.openxmlformats.org/officeDocument/2006/relationships" name="S3" sheetId="5" state="visible" r:id="rId5"/>
    <sheet xmlns:r="http://schemas.openxmlformats.org/officeDocument/2006/relationships" name="S4" sheetId="6" state="visible" r:id="rId6"/>
    <sheet xmlns:r="http://schemas.openxmlformats.org/officeDocument/2006/relationships" name="S5" sheetId="7" state="visible" r:id="rId7"/>
    <sheet xmlns:r="http://schemas.openxmlformats.org/officeDocument/2006/relationships" name="S6" sheetId="8" state="visible" r:id="rId8"/>
    <sheet xmlns:r="http://schemas.openxmlformats.org/officeDocument/2006/relationships" name="S7" sheetId="9" state="visible" r:id="rId9"/>
    <sheet xmlns:r="http://schemas.openxmlformats.org/officeDocument/2006/relationships" name="S8" sheetId="10" state="visible" r:id="rId10"/>
    <sheet xmlns:r="http://schemas.openxmlformats.org/officeDocument/2006/relationships" name="S9" sheetId="11" state="visible" r:id="rId11"/>
    <sheet xmlns:r="http://schemas.openxmlformats.org/officeDocument/2006/relationships" name="S10" sheetId="12" state="visible" r:id="rId12"/>
    <sheet xmlns:r="http://schemas.openxmlformats.org/officeDocument/2006/relationships" name="S13" sheetId="13" state="visible" r:id="rId13"/>
    <sheet xmlns:r="http://schemas.openxmlformats.org/officeDocument/2006/relationships" name="S14" sheetId="14" state="visible" r:id="rId14"/>
    <sheet xmlns:r="http://schemas.openxmlformats.org/officeDocument/2006/relationships" name="S15" sheetId="15" state="visible" r:id="rId15"/>
    <sheet xmlns:r="http://schemas.openxmlformats.org/officeDocument/2006/relationships" name="S16" sheetId="16" state="visible" r:id="rId16"/>
    <sheet xmlns:r="http://schemas.openxmlformats.org/officeDocument/2006/relationships" name="S17" sheetId="17" state="visible" r:id="rId17"/>
    <sheet xmlns:r="http://schemas.openxmlformats.org/officeDocument/2006/relationships" name="S18" sheetId="18" state="visible" r:id="rId18"/>
    <sheet xmlns:r="http://schemas.openxmlformats.org/officeDocument/2006/relationships" name="S19" sheetId="19" state="visible" r:id="rId19"/>
    <sheet xmlns:r="http://schemas.openxmlformats.org/officeDocument/2006/relationships" name="S20" sheetId="20" state="visible" r:id="rId20"/>
    <sheet xmlns:r="http://schemas.openxmlformats.org/officeDocument/2006/relationships" name="S21" sheetId="21" state="visible" r:id="rId21"/>
    <sheet xmlns:r="http://schemas.openxmlformats.org/officeDocument/2006/relationships" name="S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1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1F3864"/>
      <sz val="10"/>
    </font>
    <font>
      <name val="Calibri"/>
      <b val="1"/>
      <color rgb="00FFFFFF"/>
      <sz val="13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LOS CINCO DE SIEMPRE — cuaderno de cotejo del instructor</t>
        </is>
      </c>
    </row>
    <row r="2">
      <c r="A2" s="2" t="inlineStr">
        <is>
          <t>SI-SGCSSMA  ·  Sistema de gestión de calidad, seguridad, salud y medio ambiente</t>
        </is>
      </c>
    </row>
    <row r="4" ht="42" customHeight="1">
      <c r="A4" s="3" t="inlineStr">
        <is>
          <t>ESTO NO SE REGISTRA. Es evaluación formativa: no entra al promedio ni sube al sistema. Sirve para que el estudiante sepa cómo va, y para que tú sepas a quién acompañar. Los seis eventos calificados —CV1, CV2, EP, EF, TC1 y TC2— siguen siendo los únicos que dan nota.</t>
        </is>
      </c>
    </row>
    <row r="6">
      <c r="A6" s="4" t="inlineStr">
        <is>
          <t>LOS CINCO ÍTEMS — los mismos en las 24 sesiones, en los 35 cursos y en las tres carreras</t>
        </is>
      </c>
    </row>
    <row r="7">
      <c r="A7" s="5" t="inlineStr">
        <is>
          <t>N°</t>
        </is>
      </c>
      <c r="B7" s="6" t="inlineStr">
        <is>
          <t>ÍTEM</t>
        </is>
      </c>
      <c r="D7" s="6" t="inlineStr">
        <is>
          <t>SE OBSERVA CUANDO…</t>
        </is>
      </c>
    </row>
    <row r="8" ht="30" customHeight="1">
      <c r="A8" s="7" t="n">
        <v>1</v>
      </c>
      <c r="B8" s="8" t="inlineStr">
        <is>
          <t>COMPLETO</t>
        </is>
      </c>
      <c r="D8" s="9" t="inlineStr">
        <is>
          <t>ningún paso del encargo, ninguna fila ni casilla sin resolver</t>
        </is>
      </c>
    </row>
    <row r="9" ht="30" customHeight="1">
      <c r="A9" s="7" t="n">
        <v>2</v>
      </c>
      <c r="B9" s="8" t="inlineStr">
        <is>
          <t>CON LOS DATOS DEL CASO</t>
        </is>
      </c>
      <c r="D9" s="9" t="inlineStr">
        <is>
          <t>cada afirmación se apoya en un dato; ninguna sale de suponer</t>
        </is>
      </c>
    </row>
    <row r="10" ht="30" customHeight="1">
      <c r="A10" s="7" t="n">
        <v>3</v>
      </c>
      <c r="B10" s="8" t="inlineStr">
        <is>
          <t>CON EL TÉRMINO CORRECTO</t>
        </is>
      </c>
      <c r="D10" s="9" t="inlineStr">
        <is>
          <t>los términos de la sesión aparecen, y bien usados</t>
        </is>
      </c>
    </row>
    <row r="11" ht="30" customHeight="1">
      <c r="A11" s="7" t="n">
        <v>4</v>
      </c>
      <c r="B11" s="8" t="inlineStr">
        <is>
          <t>CON EL PORQUÉ</t>
        </is>
      </c>
      <c r="D11" s="9" t="inlineStr">
        <is>
          <t>la norma, la causa o la consecuencia que lo sustenta</t>
        </is>
      </c>
    </row>
    <row r="12" ht="30" customHeight="1">
      <c r="A12" s="7" t="n">
        <v>5</v>
      </c>
      <c r="B12" s="8" t="inlineStr">
        <is>
          <t>SUSTENTADO POR TODOS</t>
        </is>
      </c>
      <c r="D12" s="9" t="inlineStr">
        <is>
          <t>cada integrante expone, y responde sobre lo que no expuso</t>
        </is>
      </c>
    </row>
    <row r="14">
      <c r="A14" s="4" t="inlineStr">
        <is>
          <t>LA ESCALA — cada ítem vale 4 puntos</t>
        </is>
      </c>
    </row>
    <row r="15">
      <c r="A15" s="5" t="inlineStr">
        <is>
          <t>Se observan</t>
        </is>
      </c>
      <c r="B15" s="5" t="inlineStr">
        <is>
          <t>5</t>
        </is>
      </c>
      <c r="C15" s="5" t="inlineStr">
        <is>
          <t>4</t>
        </is>
      </c>
      <c r="D15" s="5" t="inlineStr">
        <is>
          <t>3</t>
        </is>
      </c>
      <c r="E15" s="5" t="inlineStr">
        <is>
          <t>2</t>
        </is>
      </c>
      <c r="F15" s="5" t="inlineStr">
        <is>
          <t>1</t>
        </is>
      </c>
      <c r="G15" s="5" t="inlineStr">
        <is>
          <t>0</t>
        </is>
      </c>
    </row>
    <row r="16">
      <c r="A16" s="5" t="inlineStr">
        <is>
          <t>Nota</t>
        </is>
      </c>
      <c r="B16" s="10" t="inlineStr">
        <is>
          <t>20</t>
        </is>
      </c>
      <c r="C16" s="10" t="inlineStr">
        <is>
          <t>16</t>
        </is>
      </c>
      <c r="D16" s="11" t="inlineStr">
        <is>
          <t>12</t>
        </is>
      </c>
      <c r="E16" s="11" t="inlineStr">
        <is>
          <t>8</t>
        </is>
      </c>
      <c r="F16" s="11" t="inlineStr">
        <is>
          <t>4</t>
        </is>
      </c>
      <c r="G16" s="11" t="inlineStr">
        <is>
          <t>0</t>
        </is>
      </c>
    </row>
    <row r="18" ht="32" customHeight="1">
      <c r="A18" s="12" t="inlineStr">
        <is>
          <t>Con cuatro de cinco, apruebas. Con tres, no.  ·  Es la misma aritmética que la rúbrica del colaborativo (5 × 4 = 20), a propósito: el estudiante ensaya veinte veces las cinco conductas con las que se le calificará en la sustentación.</t>
        </is>
      </c>
    </row>
    <row r="20">
      <c r="A20" s="4" t="inlineStr">
        <is>
          <t>CÓMO SE MARCA — tres minutos al cierre</t>
        </is>
      </c>
    </row>
    <row r="21" ht="26" customHeight="1">
      <c r="A21" s="9" t="inlineStr">
        <is>
          <t>1 · Se muestra la lámina «Los cinco de siempre» ANTES de trabajar. El estudiante sabe con qué se le va a mirar.</t>
        </is>
      </c>
    </row>
    <row r="22" ht="26" customHeight="1">
      <c r="A22" s="9" t="inlineStr">
        <is>
          <t>2 · Al terminar, el EQUIPO se marca a sí mismo. Escribe una x en las casillas que considera que cumplió.</t>
        </is>
      </c>
    </row>
    <row r="23" ht="26" customHeight="1">
      <c r="A23" s="9" t="inlineStr">
        <is>
          <t>3 · Después marcas TÚ. La nota y la brecha se calculan solas.</t>
        </is>
      </c>
    </row>
    <row r="24" ht="26" customHeight="1">
      <c r="A24" s="9" t="inlineStr">
        <is>
          <t>4 · Donde no coinciden está la conversación. Un equipo que se pone 20 y saca 12 tiene un problema distinto al que se pone 12 y saca 12.</t>
        </is>
      </c>
    </row>
    <row r="25" ht="26" customHeight="1">
      <c r="A25" s="9" t="inlineStr">
        <is>
          <t>5 · La hoja «Resumen» se llena sola: dice qué equipo cae y en cuál de los cinco ítems falla la clase entera.</t>
        </is>
      </c>
    </row>
  </sheetData>
  <mergeCells count="24">
    <mergeCell ref="D11:F11"/>
    <mergeCell ref="B7:C7"/>
    <mergeCell ref="A18:F18"/>
    <mergeCell ref="D7:F7"/>
    <mergeCell ref="A21:F21"/>
    <mergeCell ref="B12:C12"/>
    <mergeCell ref="A2:F2"/>
    <mergeCell ref="B11:C11"/>
    <mergeCell ref="A14:F14"/>
    <mergeCell ref="A23:F23"/>
    <mergeCell ref="D12:F12"/>
    <mergeCell ref="D9:F9"/>
    <mergeCell ref="A22:F22"/>
    <mergeCell ref="A4:F4"/>
    <mergeCell ref="A20:F20"/>
    <mergeCell ref="D8:F8"/>
    <mergeCell ref="B8:C8"/>
    <mergeCell ref="B10:C10"/>
    <mergeCell ref="B9:C9"/>
    <mergeCell ref="D10:F10"/>
    <mergeCell ref="A24:F24"/>
    <mergeCell ref="A1:F1"/>
    <mergeCell ref="A6:F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11" customWidth="1" min="23" max="23"/>
    <col width="11" customWidth="1" min="24" max="24"/>
  </cols>
  <sheetData>
    <row r="1" ht="26" customHeight="1">
      <c r="A1" s="13" t="inlineStr">
        <is>
          <t>RESUMEN — se llena solo. Dice a quién acompañar, y en qué.</t>
        </is>
      </c>
    </row>
    <row r="2">
      <c r="A2" s="14" t="inlineStr">
        <is>
          <t>Nota simulada de cada equipo por sesión (la tuya, sobre 20). No se registra.</t>
        </is>
      </c>
    </row>
    <row r="4">
      <c r="A4" s="15" t="inlineStr">
        <is>
          <t>EQUIPO</t>
        </is>
      </c>
      <c r="B4" s="15" t="inlineStr">
        <is>
          <t>INTEGRANTES</t>
        </is>
      </c>
      <c r="C4" s="16" t="inlineStr">
        <is>
          <t>S1</t>
        </is>
      </c>
      <c r="D4" s="16" t="inlineStr">
        <is>
          <t>S2</t>
        </is>
      </c>
      <c r="E4" s="16" t="inlineStr">
        <is>
          <t>S3</t>
        </is>
      </c>
      <c r="F4" s="16" t="inlineStr">
        <is>
          <t>S4</t>
        </is>
      </c>
      <c r="G4" s="16" t="inlineStr">
        <is>
          <t>S5</t>
        </is>
      </c>
      <c r="H4" s="16" t="inlineStr">
        <is>
          <t>S6</t>
        </is>
      </c>
      <c r="I4" s="16" t="inlineStr">
        <is>
          <t>S7</t>
        </is>
      </c>
      <c r="J4" s="16" t="inlineStr">
        <is>
          <t>S8</t>
        </is>
      </c>
      <c r="K4" s="16" t="inlineStr">
        <is>
          <t>S9</t>
        </is>
      </c>
      <c r="L4" s="16" t="inlineStr">
        <is>
          <t>S10</t>
        </is>
      </c>
      <c r="M4" s="16" t="inlineStr">
        <is>
          <t>S13</t>
        </is>
      </c>
      <c r="N4" s="16" t="inlineStr">
        <is>
          <t>S14</t>
        </is>
      </c>
      <c r="O4" s="16" t="inlineStr">
        <is>
          <t>S15</t>
        </is>
      </c>
      <c r="P4" s="16" t="inlineStr">
        <is>
          <t>S16</t>
        </is>
      </c>
      <c r="Q4" s="16" t="inlineStr">
        <is>
          <t>S17</t>
        </is>
      </c>
      <c r="R4" s="16" t="inlineStr">
        <is>
          <t>S18</t>
        </is>
      </c>
      <c r="S4" s="16" t="inlineStr">
        <is>
          <t>S19</t>
        </is>
      </c>
      <c r="T4" s="16" t="inlineStr">
        <is>
          <t>S20</t>
        </is>
      </c>
      <c r="U4" s="16" t="inlineStr">
        <is>
          <t>S21</t>
        </is>
      </c>
      <c r="V4" s="16" t="inlineStr">
        <is>
          <t>S22</t>
        </is>
      </c>
      <c r="W4" s="16" t="inlineStr">
        <is>
          <t>PROMEDIO</t>
        </is>
      </c>
      <c r="X4" s="16" t="inlineStr">
        <is>
          <t>SESIONES BAJO 13</t>
        </is>
      </c>
    </row>
    <row r="5" ht="20" customHeight="1">
      <c r="A5" s="7" t="inlineStr">
        <is>
          <t>Equipo 1</t>
        </is>
      </c>
      <c r="B5" s="17">
        <f>'S1'!B9</f>
        <v/>
      </c>
      <c r="C5" s="18">
        <f>'S1'!N9</f>
        <v/>
      </c>
      <c r="D5" s="18">
        <f>'S2'!N9</f>
        <v/>
      </c>
      <c r="E5" s="18">
        <f>'S3'!N9</f>
        <v/>
      </c>
      <c r="F5" s="18">
        <f>'S4'!N9</f>
        <v/>
      </c>
      <c r="G5" s="18">
        <f>'S5'!N9</f>
        <v/>
      </c>
      <c r="H5" s="18">
        <f>'S6'!N9</f>
        <v/>
      </c>
      <c r="I5" s="18">
        <f>'S7'!N9</f>
        <v/>
      </c>
      <c r="J5" s="18">
        <f>'S8'!N9</f>
        <v/>
      </c>
      <c r="K5" s="18">
        <f>'S9'!N9</f>
        <v/>
      </c>
      <c r="L5" s="18">
        <f>'S10'!N9</f>
        <v/>
      </c>
      <c r="M5" s="18">
        <f>'S13'!N9</f>
        <v/>
      </c>
      <c r="N5" s="18">
        <f>'S14'!N9</f>
        <v/>
      </c>
      <c r="O5" s="18">
        <f>'S15'!N9</f>
        <v/>
      </c>
      <c r="P5" s="18">
        <f>'S16'!N9</f>
        <v/>
      </c>
      <c r="Q5" s="18">
        <f>'S17'!N9</f>
        <v/>
      </c>
      <c r="R5" s="18">
        <f>'S18'!N9</f>
        <v/>
      </c>
      <c r="S5" s="18">
        <f>'S19'!N9</f>
        <v/>
      </c>
      <c r="T5" s="18">
        <f>'S20'!N9</f>
        <v/>
      </c>
      <c r="U5" s="18">
        <f>'S21'!N9</f>
        <v/>
      </c>
      <c r="V5" s="18">
        <f>'S22'!N9</f>
        <v/>
      </c>
      <c r="W5" s="19">
        <f>IFERROR(AVERAGEIF(C5:V5,"&gt;0"),"")</f>
        <v/>
      </c>
      <c r="X5" s="20">
        <f>COUNTIFS(C5:V5,"&gt;0",C5:V5,"&lt;13")</f>
        <v/>
      </c>
    </row>
    <row r="6" ht="20" customHeight="1">
      <c r="A6" s="7" t="inlineStr">
        <is>
          <t>Equipo 2</t>
        </is>
      </c>
      <c r="B6" s="17">
        <f>'S1'!B10</f>
        <v/>
      </c>
      <c r="C6" s="18">
        <f>'S1'!N10</f>
        <v/>
      </c>
      <c r="D6" s="18">
        <f>'S2'!N10</f>
        <v/>
      </c>
      <c r="E6" s="18">
        <f>'S3'!N10</f>
        <v/>
      </c>
      <c r="F6" s="18">
        <f>'S4'!N10</f>
        <v/>
      </c>
      <c r="G6" s="18">
        <f>'S5'!N10</f>
        <v/>
      </c>
      <c r="H6" s="18">
        <f>'S6'!N10</f>
        <v/>
      </c>
      <c r="I6" s="18">
        <f>'S7'!N10</f>
        <v/>
      </c>
      <c r="J6" s="18">
        <f>'S8'!N10</f>
        <v/>
      </c>
      <c r="K6" s="18">
        <f>'S9'!N10</f>
        <v/>
      </c>
      <c r="L6" s="18">
        <f>'S10'!N10</f>
        <v/>
      </c>
      <c r="M6" s="18">
        <f>'S13'!N10</f>
        <v/>
      </c>
      <c r="N6" s="18">
        <f>'S14'!N10</f>
        <v/>
      </c>
      <c r="O6" s="18">
        <f>'S15'!N10</f>
        <v/>
      </c>
      <c r="P6" s="18">
        <f>'S16'!N10</f>
        <v/>
      </c>
      <c r="Q6" s="18">
        <f>'S17'!N10</f>
        <v/>
      </c>
      <c r="R6" s="18">
        <f>'S18'!N10</f>
        <v/>
      </c>
      <c r="S6" s="18">
        <f>'S19'!N10</f>
        <v/>
      </c>
      <c r="T6" s="18">
        <f>'S20'!N10</f>
        <v/>
      </c>
      <c r="U6" s="18">
        <f>'S21'!N10</f>
        <v/>
      </c>
      <c r="V6" s="18">
        <f>'S22'!N10</f>
        <v/>
      </c>
      <c r="W6" s="19">
        <f>IFERROR(AVERAGEIF(C6:V6,"&gt;0"),"")</f>
        <v/>
      </c>
      <c r="X6" s="20">
        <f>COUNTIFS(C6:V6,"&gt;0",C6:V6,"&lt;13")</f>
        <v/>
      </c>
    </row>
    <row r="7" ht="20" customHeight="1">
      <c r="A7" s="7" t="inlineStr">
        <is>
          <t>Equipo 3</t>
        </is>
      </c>
      <c r="B7" s="17">
        <f>'S1'!B11</f>
        <v/>
      </c>
      <c r="C7" s="18">
        <f>'S1'!N11</f>
        <v/>
      </c>
      <c r="D7" s="18">
        <f>'S2'!N11</f>
        <v/>
      </c>
      <c r="E7" s="18">
        <f>'S3'!N11</f>
        <v/>
      </c>
      <c r="F7" s="18">
        <f>'S4'!N11</f>
        <v/>
      </c>
      <c r="G7" s="18">
        <f>'S5'!N11</f>
        <v/>
      </c>
      <c r="H7" s="18">
        <f>'S6'!N11</f>
        <v/>
      </c>
      <c r="I7" s="18">
        <f>'S7'!N11</f>
        <v/>
      </c>
      <c r="J7" s="18">
        <f>'S8'!N11</f>
        <v/>
      </c>
      <c r="K7" s="18">
        <f>'S9'!N11</f>
        <v/>
      </c>
      <c r="L7" s="18">
        <f>'S10'!N11</f>
        <v/>
      </c>
      <c r="M7" s="18">
        <f>'S13'!N11</f>
        <v/>
      </c>
      <c r="N7" s="18">
        <f>'S14'!N11</f>
        <v/>
      </c>
      <c r="O7" s="18">
        <f>'S15'!N11</f>
        <v/>
      </c>
      <c r="P7" s="18">
        <f>'S16'!N11</f>
        <v/>
      </c>
      <c r="Q7" s="18">
        <f>'S17'!N11</f>
        <v/>
      </c>
      <c r="R7" s="18">
        <f>'S18'!N11</f>
        <v/>
      </c>
      <c r="S7" s="18">
        <f>'S19'!N11</f>
        <v/>
      </c>
      <c r="T7" s="18">
        <f>'S20'!N11</f>
        <v/>
      </c>
      <c r="U7" s="18">
        <f>'S21'!N11</f>
        <v/>
      </c>
      <c r="V7" s="18">
        <f>'S22'!N11</f>
        <v/>
      </c>
      <c r="W7" s="19">
        <f>IFERROR(AVERAGEIF(C7:V7,"&gt;0"),"")</f>
        <v/>
      </c>
      <c r="X7" s="20">
        <f>COUNTIFS(C7:V7,"&gt;0",C7:V7,"&lt;13")</f>
        <v/>
      </c>
    </row>
    <row r="8" ht="20" customHeight="1">
      <c r="A8" s="7" t="inlineStr">
        <is>
          <t>Equipo 4</t>
        </is>
      </c>
      <c r="B8" s="17">
        <f>'S1'!B12</f>
        <v/>
      </c>
      <c r="C8" s="18">
        <f>'S1'!N12</f>
        <v/>
      </c>
      <c r="D8" s="18">
        <f>'S2'!N12</f>
        <v/>
      </c>
      <c r="E8" s="18">
        <f>'S3'!N12</f>
        <v/>
      </c>
      <c r="F8" s="18">
        <f>'S4'!N12</f>
        <v/>
      </c>
      <c r="G8" s="18">
        <f>'S5'!N12</f>
        <v/>
      </c>
      <c r="H8" s="18">
        <f>'S6'!N12</f>
        <v/>
      </c>
      <c r="I8" s="18">
        <f>'S7'!N12</f>
        <v/>
      </c>
      <c r="J8" s="18">
        <f>'S8'!N12</f>
        <v/>
      </c>
      <c r="K8" s="18">
        <f>'S9'!N12</f>
        <v/>
      </c>
      <c r="L8" s="18">
        <f>'S10'!N12</f>
        <v/>
      </c>
      <c r="M8" s="18">
        <f>'S13'!N12</f>
        <v/>
      </c>
      <c r="N8" s="18">
        <f>'S14'!N12</f>
        <v/>
      </c>
      <c r="O8" s="18">
        <f>'S15'!N12</f>
        <v/>
      </c>
      <c r="P8" s="18">
        <f>'S16'!N12</f>
        <v/>
      </c>
      <c r="Q8" s="18">
        <f>'S17'!N12</f>
        <v/>
      </c>
      <c r="R8" s="18">
        <f>'S18'!N12</f>
        <v/>
      </c>
      <c r="S8" s="18">
        <f>'S19'!N12</f>
        <v/>
      </c>
      <c r="T8" s="18">
        <f>'S20'!N12</f>
        <v/>
      </c>
      <c r="U8" s="18">
        <f>'S21'!N12</f>
        <v/>
      </c>
      <c r="V8" s="18">
        <f>'S22'!N12</f>
        <v/>
      </c>
      <c r="W8" s="19">
        <f>IFERROR(AVERAGEIF(C8:V8,"&gt;0"),"")</f>
        <v/>
      </c>
      <c r="X8" s="20">
        <f>COUNTIFS(C8:V8,"&gt;0",C8:V8,"&lt;13")</f>
        <v/>
      </c>
    </row>
    <row r="9" ht="20" customHeight="1">
      <c r="A9" s="7" t="inlineStr">
        <is>
          <t>Equipo 5</t>
        </is>
      </c>
      <c r="B9" s="17">
        <f>'S1'!B13</f>
        <v/>
      </c>
      <c r="C9" s="18">
        <f>'S1'!N13</f>
        <v/>
      </c>
      <c r="D9" s="18">
        <f>'S2'!N13</f>
        <v/>
      </c>
      <c r="E9" s="18">
        <f>'S3'!N13</f>
        <v/>
      </c>
      <c r="F9" s="18">
        <f>'S4'!N13</f>
        <v/>
      </c>
      <c r="G9" s="18">
        <f>'S5'!N13</f>
        <v/>
      </c>
      <c r="H9" s="18">
        <f>'S6'!N13</f>
        <v/>
      </c>
      <c r="I9" s="18">
        <f>'S7'!N13</f>
        <v/>
      </c>
      <c r="J9" s="18">
        <f>'S8'!N13</f>
        <v/>
      </c>
      <c r="K9" s="18">
        <f>'S9'!N13</f>
        <v/>
      </c>
      <c r="L9" s="18">
        <f>'S10'!N13</f>
        <v/>
      </c>
      <c r="M9" s="18">
        <f>'S13'!N13</f>
        <v/>
      </c>
      <c r="N9" s="18">
        <f>'S14'!N13</f>
        <v/>
      </c>
      <c r="O9" s="18">
        <f>'S15'!N13</f>
        <v/>
      </c>
      <c r="P9" s="18">
        <f>'S16'!N13</f>
        <v/>
      </c>
      <c r="Q9" s="18">
        <f>'S17'!N13</f>
        <v/>
      </c>
      <c r="R9" s="18">
        <f>'S18'!N13</f>
        <v/>
      </c>
      <c r="S9" s="18">
        <f>'S19'!N13</f>
        <v/>
      </c>
      <c r="T9" s="18">
        <f>'S20'!N13</f>
        <v/>
      </c>
      <c r="U9" s="18">
        <f>'S21'!N13</f>
        <v/>
      </c>
      <c r="V9" s="18">
        <f>'S22'!N13</f>
        <v/>
      </c>
      <c r="W9" s="19">
        <f>IFERROR(AVERAGEIF(C9:V9,"&gt;0"),"")</f>
        <v/>
      </c>
      <c r="X9" s="20">
        <f>COUNTIFS(C9:V9,"&gt;0",C9:V9,"&lt;13")</f>
        <v/>
      </c>
    </row>
    <row r="10" ht="20" customHeight="1">
      <c r="A10" s="7" t="inlineStr">
        <is>
          <t>Equipo 6</t>
        </is>
      </c>
      <c r="B10" s="17">
        <f>'S1'!B14</f>
        <v/>
      </c>
      <c r="C10" s="18">
        <f>'S1'!N14</f>
        <v/>
      </c>
      <c r="D10" s="18">
        <f>'S2'!N14</f>
        <v/>
      </c>
      <c r="E10" s="18">
        <f>'S3'!N14</f>
        <v/>
      </c>
      <c r="F10" s="18">
        <f>'S4'!N14</f>
        <v/>
      </c>
      <c r="G10" s="18">
        <f>'S5'!N14</f>
        <v/>
      </c>
      <c r="H10" s="18">
        <f>'S6'!N14</f>
        <v/>
      </c>
      <c r="I10" s="18">
        <f>'S7'!N14</f>
        <v/>
      </c>
      <c r="J10" s="18">
        <f>'S8'!N14</f>
        <v/>
      </c>
      <c r="K10" s="18">
        <f>'S9'!N14</f>
        <v/>
      </c>
      <c r="L10" s="18">
        <f>'S10'!N14</f>
        <v/>
      </c>
      <c r="M10" s="18">
        <f>'S13'!N14</f>
        <v/>
      </c>
      <c r="N10" s="18">
        <f>'S14'!N14</f>
        <v/>
      </c>
      <c r="O10" s="18">
        <f>'S15'!N14</f>
        <v/>
      </c>
      <c r="P10" s="18">
        <f>'S16'!N14</f>
        <v/>
      </c>
      <c r="Q10" s="18">
        <f>'S17'!N14</f>
        <v/>
      </c>
      <c r="R10" s="18">
        <f>'S18'!N14</f>
        <v/>
      </c>
      <c r="S10" s="18">
        <f>'S19'!N14</f>
        <v/>
      </c>
      <c r="T10" s="18">
        <f>'S20'!N14</f>
        <v/>
      </c>
      <c r="U10" s="18">
        <f>'S21'!N14</f>
        <v/>
      </c>
      <c r="V10" s="18">
        <f>'S22'!N14</f>
        <v/>
      </c>
      <c r="W10" s="19">
        <f>IFERROR(AVERAGEIF(C10:V10,"&gt;0"),"")</f>
        <v/>
      </c>
      <c r="X10" s="20">
        <f>COUNTIFS(C10:V10,"&gt;0",C10:V10,"&lt;13")</f>
        <v/>
      </c>
    </row>
    <row r="11" ht="20" customHeight="1">
      <c r="A11" s="7" t="inlineStr">
        <is>
          <t>Equipo 7</t>
        </is>
      </c>
      <c r="B11" s="17">
        <f>'S1'!B15</f>
        <v/>
      </c>
      <c r="C11" s="18">
        <f>'S1'!N15</f>
        <v/>
      </c>
      <c r="D11" s="18">
        <f>'S2'!N15</f>
        <v/>
      </c>
      <c r="E11" s="18">
        <f>'S3'!N15</f>
        <v/>
      </c>
      <c r="F11" s="18">
        <f>'S4'!N15</f>
        <v/>
      </c>
      <c r="G11" s="18">
        <f>'S5'!N15</f>
        <v/>
      </c>
      <c r="H11" s="18">
        <f>'S6'!N15</f>
        <v/>
      </c>
      <c r="I11" s="18">
        <f>'S7'!N15</f>
        <v/>
      </c>
      <c r="J11" s="18">
        <f>'S8'!N15</f>
        <v/>
      </c>
      <c r="K11" s="18">
        <f>'S9'!N15</f>
        <v/>
      </c>
      <c r="L11" s="18">
        <f>'S10'!N15</f>
        <v/>
      </c>
      <c r="M11" s="18">
        <f>'S13'!N15</f>
        <v/>
      </c>
      <c r="N11" s="18">
        <f>'S14'!N15</f>
        <v/>
      </c>
      <c r="O11" s="18">
        <f>'S15'!N15</f>
        <v/>
      </c>
      <c r="P11" s="18">
        <f>'S16'!N15</f>
        <v/>
      </c>
      <c r="Q11" s="18">
        <f>'S17'!N15</f>
        <v/>
      </c>
      <c r="R11" s="18">
        <f>'S18'!N15</f>
        <v/>
      </c>
      <c r="S11" s="18">
        <f>'S19'!N15</f>
        <v/>
      </c>
      <c r="T11" s="18">
        <f>'S20'!N15</f>
        <v/>
      </c>
      <c r="U11" s="18">
        <f>'S21'!N15</f>
        <v/>
      </c>
      <c r="V11" s="18">
        <f>'S22'!N15</f>
        <v/>
      </c>
      <c r="W11" s="19">
        <f>IFERROR(AVERAGEIF(C11:V11,"&gt;0"),"")</f>
        <v/>
      </c>
      <c r="X11" s="20">
        <f>COUNTIFS(C11:V11,"&gt;0",C11:V11,"&lt;13")</f>
        <v/>
      </c>
    </row>
    <row r="12" ht="20" customHeight="1">
      <c r="A12" s="7" t="inlineStr">
        <is>
          <t>Equipo 8</t>
        </is>
      </c>
      <c r="B12" s="17">
        <f>'S1'!B16</f>
        <v/>
      </c>
      <c r="C12" s="18">
        <f>'S1'!N16</f>
        <v/>
      </c>
      <c r="D12" s="18">
        <f>'S2'!N16</f>
        <v/>
      </c>
      <c r="E12" s="18">
        <f>'S3'!N16</f>
        <v/>
      </c>
      <c r="F12" s="18">
        <f>'S4'!N16</f>
        <v/>
      </c>
      <c r="G12" s="18">
        <f>'S5'!N16</f>
        <v/>
      </c>
      <c r="H12" s="18">
        <f>'S6'!N16</f>
        <v/>
      </c>
      <c r="I12" s="18">
        <f>'S7'!N16</f>
        <v/>
      </c>
      <c r="J12" s="18">
        <f>'S8'!N16</f>
        <v/>
      </c>
      <c r="K12" s="18">
        <f>'S9'!N16</f>
        <v/>
      </c>
      <c r="L12" s="18">
        <f>'S10'!N16</f>
        <v/>
      </c>
      <c r="M12" s="18">
        <f>'S13'!N16</f>
        <v/>
      </c>
      <c r="N12" s="18">
        <f>'S14'!N16</f>
        <v/>
      </c>
      <c r="O12" s="18">
        <f>'S15'!N16</f>
        <v/>
      </c>
      <c r="P12" s="18">
        <f>'S16'!N16</f>
        <v/>
      </c>
      <c r="Q12" s="18">
        <f>'S17'!N16</f>
        <v/>
      </c>
      <c r="R12" s="18">
        <f>'S18'!N16</f>
        <v/>
      </c>
      <c r="S12" s="18">
        <f>'S19'!N16</f>
        <v/>
      </c>
      <c r="T12" s="18">
        <f>'S20'!N16</f>
        <v/>
      </c>
      <c r="U12" s="18">
        <f>'S21'!N16</f>
        <v/>
      </c>
      <c r="V12" s="18">
        <f>'S22'!N16</f>
        <v/>
      </c>
      <c r="W12" s="19">
        <f>IFERROR(AVERAGEIF(C12:V12,"&gt;0"),"")</f>
        <v/>
      </c>
      <c r="X12" s="20">
        <f>COUNTIFS(C12:V12,"&gt;0",C12:V12,"&lt;13")</f>
        <v/>
      </c>
    </row>
    <row r="14">
      <c r="B14" s="21" t="inlineStr">
        <is>
          <t>Promedio de la clase</t>
        </is>
      </c>
      <c r="C14" s="22">
        <f>IFERROR(AVERAGEIF(C5:C12,"&gt;0"),"")</f>
        <v/>
      </c>
      <c r="D14" s="22">
        <f>IFERROR(AVERAGEIF(D5:D12,"&gt;0"),"")</f>
        <v/>
      </c>
      <c r="E14" s="22">
        <f>IFERROR(AVERAGEIF(E5:E12,"&gt;0"),"")</f>
        <v/>
      </c>
      <c r="F14" s="22">
        <f>IFERROR(AVERAGEIF(F5:F12,"&gt;0"),"")</f>
        <v/>
      </c>
      <c r="G14" s="22">
        <f>IFERROR(AVERAGEIF(G5:G12,"&gt;0"),"")</f>
        <v/>
      </c>
      <c r="H14" s="22">
        <f>IFERROR(AVERAGEIF(H5:H12,"&gt;0"),"")</f>
        <v/>
      </c>
      <c r="I14" s="22">
        <f>IFERROR(AVERAGEIF(I5:I12,"&gt;0"),"")</f>
        <v/>
      </c>
      <c r="J14" s="22">
        <f>IFERROR(AVERAGEIF(J5:J12,"&gt;0"),"")</f>
        <v/>
      </c>
      <c r="K14" s="22">
        <f>IFERROR(AVERAGEIF(K5:K12,"&gt;0"),"")</f>
        <v/>
      </c>
      <c r="L14" s="22">
        <f>IFERROR(AVERAGEIF(L5:L12,"&gt;0"),"")</f>
        <v/>
      </c>
      <c r="M14" s="22">
        <f>IFERROR(AVERAGEIF(M5:M12,"&gt;0"),"")</f>
        <v/>
      </c>
      <c r="N14" s="22">
        <f>IFERROR(AVERAGEIF(N5:N12,"&gt;0"),"")</f>
        <v/>
      </c>
      <c r="O14" s="22">
        <f>IFERROR(AVERAGEIF(O5:O12,"&gt;0"),"")</f>
        <v/>
      </c>
      <c r="P14" s="22">
        <f>IFERROR(AVERAGEIF(P5:P12,"&gt;0"),"")</f>
        <v/>
      </c>
      <c r="Q14" s="22">
        <f>IFERROR(AVERAGEIF(Q5:Q12,"&gt;0"),"")</f>
        <v/>
      </c>
      <c r="R14" s="22">
        <f>IFERROR(AVERAGEIF(R5:R12,"&gt;0"),"")</f>
        <v/>
      </c>
      <c r="S14" s="22">
        <f>IFERROR(AVERAGEIF(S5:S12,"&gt;0"),"")</f>
        <v/>
      </c>
      <c r="T14" s="22">
        <f>IFERROR(AVERAGEIF(T5:T12,"&gt;0"),"")</f>
        <v/>
      </c>
      <c r="U14" s="22">
        <f>IFERROR(AVERAGEIF(U5:U12,"&gt;0"),"")</f>
        <v/>
      </c>
      <c r="V14" s="22">
        <f>IFERROR(AVERAGEIF(V5:V12,"&gt;0"),"")</f>
        <v/>
      </c>
    </row>
    <row r="16">
      <c r="A16" s="4" t="inlineStr">
        <is>
          <t>EN QUÉ ÍTEM FALLA LA CLASE — cuántos equipos NO lo cumplieron, sesión por sesión</t>
        </is>
      </c>
    </row>
    <row r="17">
      <c r="A17" s="23" t="inlineStr">
        <is>
          <t>ÍTEM</t>
        </is>
      </c>
      <c r="B17" s="14" t="inlineStr"/>
      <c r="C17" s="23" t="inlineStr">
        <is>
          <t>S1</t>
        </is>
      </c>
      <c r="D17" s="23" t="inlineStr">
        <is>
          <t>S2</t>
        </is>
      </c>
      <c r="E17" s="23" t="inlineStr">
        <is>
          <t>S3</t>
        </is>
      </c>
      <c r="F17" s="23" t="inlineStr">
        <is>
          <t>S4</t>
        </is>
      </c>
      <c r="G17" s="23" t="inlineStr">
        <is>
          <t>S5</t>
        </is>
      </c>
      <c r="H17" s="23" t="inlineStr">
        <is>
          <t>S6</t>
        </is>
      </c>
      <c r="I17" s="23" t="inlineStr">
        <is>
          <t>S7</t>
        </is>
      </c>
      <c r="J17" s="23" t="inlineStr">
        <is>
          <t>S8</t>
        </is>
      </c>
      <c r="K17" s="23" t="inlineStr">
        <is>
          <t>S9</t>
        </is>
      </c>
      <c r="L17" s="23" t="inlineStr">
        <is>
          <t>S10</t>
        </is>
      </c>
      <c r="M17" s="23" t="inlineStr">
        <is>
          <t>S13</t>
        </is>
      </c>
      <c r="N17" s="23" t="inlineStr">
        <is>
          <t>S14</t>
        </is>
      </c>
      <c r="O17" s="23" t="inlineStr">
        <is>
          <t>S15</t>
        </is>
      </c>
      <c r="P17" s="23" t="inlineStr">
        <is>
          <t>S16</t>
        </is>
      </c>
      <c r="Q17" s="23" t="inlineStr">
        <is>
          <t>S17</t>
        </is>
      </c>
      <c r="R17" s="23" t="inlineStr">
        <is>
          <t>S18</t>
        </is>
      </c>
      <c r="S17" s="23" t="inlineStr">
        <is>
          <t>S19</t>
        </is>
      </c>
      <c r="T17" s="23" t="inlineStr">
        <is>
          <t>S20</t>
        </is>
      </c>
      <c r="U17" s="23" t="inlineStr">
        <is>
          <t>S21</t>
        </is>
      </c>
      <c r="V17" s="23" t="inlineStr">
        <is>
          <t>S22</t>
        </is>
      </c>
      <c r="W17" s="23" t="inlineStr">
        <is>
          <t>TOTAL</t>
        </is>
      </c>
    </row>
    <row r="18" ht="20" customHeight="1">
      <c r="A18" s="7" t="inlineStr">
        <is>
          <t>1</t>
        </is>
      </c>
      <c r="B18" s="24" t="inlineStr">
        <is>
          <t>COMPLETO</t>
        </is>
      </c>
      <c r="C18" s="18">
        <f>COUNTA('S1'!B9:B16)-COUNTA('S1'!I9:I16)</f>
        <v/>
      </c>
      <c r="D18" s="18">
        <f>COUNTA('S2'!B9:B16)-COUNTA('S2'!I9:I16)</f>
        <v/>
      </c>
      <c r="E18" s="18">
        <f>COUNTA('S3'!B9:B16)-COUNTA('S3'!I9:I16)</f>
        <v/>
      </c>
      <c r="F18" s="18">
        <f>COUNTA('S4'!B9:B16)-COUNTA('S4'!I9:I16)</f>
        <v/>
      </c>
      <c r="G18" s="18">
        <f>COUNTA('S5'!B9:B16)-COUNTA('S5'!I9:I16)</f>
        <v/>
      </c>
      <c r="H18" s="18">
        <f>COUNTA('S6'!B9:B16)-COUNTA('S6'!I9:I16)</f>
        <v/>
      </c>
      <c r="I18" s="18">
        <f>COUNTA('S7'!B9:B16)-COUNTA('S7'!I9:I16)</f>
        <v/>
      </c>
      <c r="J18" s="18">
        <f>COUNTA('S8'!B9:B16)-COUNTA('S8'!I9:I16)</f>
        <v/>
      </c>
      <c r="K18" s="18">
        <f>COUNTA('S9'!B9:B16)-COUNTA('S9'!I9:I16)</f>
        <v/>
      </c>
      <c r="L18" s="18">
        <f>COUNTA('S10'!B9:B16)-COUNTA('S10'!I9:I16)</f>
        <v/>
      </c>
      <c r="M18" s="18">
        <f>COUNTA('S13'!B9:B16)-COUNTA('S13'!I9:I16)</f>
        <v/>
      </c>
      <c r="N18" s="18">
        <f>COUNTA('S14'!B9:B16)-COUNTA('S14'!I9:I16)</f>
        <v/>
      </c>
      <c r="O18" s="18">
        <f>COUNTA('S15'!B9:B16)-COUNTA('S15'!I9:I16)</f>
        <v/>
      </c>
      <c r="P18" s="18">
        <f>COUNTA('S16'!B9:B16)-COUNTA('S16'!I9:I16)</f>
        <v/>
      </c>
      <c r="Q18" s="18">
        <f>COUNTA('S17'!B9:B16)-COUNTA('S17'!I9:I16)</f>
        <v/>
      </c>
      <c r="R18" s="18">
        <f>COUNTA('S18'!B9:B16)-COUNTA('S18'!I9:I16)</f>
        <v/>
      </c>
      <c r="S18" s="18">
        <f>COUNTA('S19'!B9:B16)-COUNTA('S19'!I9:I16)</f>
        <v/>
      </c>
      <c r="T18" s="18">
        <f>COUNTA('S20'!B9:B16)-COUNTA('S20'!I9:I16)</f>
        <v/>
      </c>
      <c r="U18" s="18">
        <f>COUNTA('S21'!B9:B16)-COUNTA('S21'!I9:I16)</f>
        <v/>
      </c>
      <c r="V18" s="18">
        <f>COUNTA('S22'!B9:B16)-COUNTA('S22'!I9:I16)</f>
        <v/>
      </c>
      <c r="W18" s="20">
        <f>SUM(C18:V18)</f>
        <v/>
      </c>
    </row>
    <row r="19" ht="20" customHeight="1">
      <c r="A19" s="7" t="inlineStr">
        <is>
          <t>2</t>
        </is>
      </c>
      <c r="B19" s="24" t="inlineStr">
        <is>
          <t>CON LOS DATOS DEL CASO</t>
        </is>
      </c>
      <c r="C19" s="18">
        <f>COUNTA('S1'!B9:B16)-COUNTA('S1'!J9:J16)</f>
        <v/>
      </c>
      <c r="D19" s="18">
        <f>COUNTA('S2'!B9:B16)-COUNTA('S2'!J9:J16)</f>
        <v/>
      </c>
      <c r="E19" s="18">
        <f>COUNTA('S3'!B9:B16)-COUNTA('S3'!J9:J16)</f>
        <v/>
      </c>
      <c r="F19" s="18">
        <f>COUNTA('S4'!B9:B16)-COUNTA('S4'!J9:J16)</f>
        <v/>
      </c>
      <c r="G19" s="18">
        <f>COUNTA('S5'!B9:B16)-COUNTA('S5'!J9:J16)</f>
        <v/>
      </c>
      <c r="H19" s="18">
        <f>COUNTA('S6'!B9:B16)-COUNTA('S6'!J9:J16)</f>
        <v/>
      </c>
      <c r="I19" s="18">
        <f>COUNTA('S7'!B9:B16)-COUNTA('S7'!J9:J16)</f>
        <v/>
      </c>
      <c r="J19" s="18">
        <f>COUNTA('S8'!B9:B16)-COUNTA('S8'!J9:J16)</f>
        <v/>
      </c>
      <c r="K19" s="18">
        <f>COUNTA('S9'!B9:B16)-COUNTA('S9'!J9:J16)</f>
        <v/>
      </c>
      <c r="L19" s="18">
        <f>COUNTA('S10'!B9:B16)-COUNTA('S10'!J9:J16)</f>
        <v/>
      </c>
      <c r="M19" s="18">
        <f>COUNTA('S13'!B9:B16)-COUNTA('S13'!J9:J16)</f>
        <v/>
      </c>
      <c r="N19" s="18">
        <f>COUNTA('S14'!B9:B16)-COUNTA('S14'!J9:J16)</f>
        <v/>
      </c>
      <c r="O19" s="18">
        <f>COUNTA('S15'!B9:B16)-COUNTA('S15'!J9:J16)</f>
        <v/>
      </c>
      <c r="P19" s="18">
        <f>COUNTA('S16'!B9:B16)-COUNTA('S16'!J9:J16)</f>
        <v/>
      </c>
      <c r="Q19" s="18">
        <f>COUNTA('S17'!B9:B16)-COUNTA('S17'!J9:J16)</f>
        <v/>
      </c>
      <c r="R19" s="18">
        <f>COUNTA('S18'!B9:B16)-COUNTA('S18'!J9:J16)</f>
        <v/>
      </c>
      <c r="S19" s="18">
        <f>COUNTA('S19'!B9:B16)-COUNTA('S19'!J9:J16)</f>
        <v/>
      </c>
      <c r="T19" s="18">
        <f>COUNTA('S20'!B9:B16)-COUNTA('S20'!J9:J16)</f>
        <v/>
      </c>
      <c r="U19" s="18">
        <f>COUNTA('S21'!B9:B16)-COUNTA('S21'!J9:J16)</f>
        <v/>
      </c>
      <c r="V19" s="18">
        <f>COUNTA('S22'!B9:B16)-COUNTA('S22'!J9:J16)</f>
        <v/>
      </c>
      <c r="W19" s="20">
        <f>SUM(C19:V19)</f>
        <v/>
      </c>
    </row>
    <row r="20" ht="20" customHeight="1">
      <c r="A20" s="7" t="inlineStr">
        <is>
          <t>3</t>
        </is>
      </c>
      <c r="B20" s="24" t="inlineStr">
        <is>
          <t>CON EL TÉRMINO CORRECTO</t>
        </is>
      </c>
      <c r="C20" s="18">
        <f>COUNTA('S1'!B9:B16)-COUNTA('S1'!K9:K16)</f>
        <v/>
      </c>
      <c r="D20" s="18">
        <f>COUNTA('S2'!B9:B16)-COUNTA('S2'!K9:K16)</f>
        <v/>
      </c>
      <c r="E20" s="18">
        <f>COUNTA('S3'!B9:B16)-COUNTA('S3'!K9:K16)</f>
        <v/>
      </c>
      <c r="F20" s="18">
        <f>COUNTA('S4'!B9:B16)-COUNTA('S4'!K9:K16)</f>
        <v/>
      </c>
      <c r="G20" s="18">
        <f>COUNTA('S5'!B9:B16)-COUNTA('S5'!K9:K16)</f>
        <v/>
      </c>
      <c r="H20" s="18">
        <f>COUNTA('S6'!B9:B16)-COUNTA('S6'!K9:K16)</f>
        <v/>
      </c>
      <c r="I20" s="18">
        <f>COUNTA('S7'!B9:B16)-COUNTA('S7'!K9:K16)</f>
        <v/>
      </c>
      <c r="J20" s="18">
        <f>COUNTA('S8'!B9:B16)-COUNTA('S8'!K9:K16)</f>
        <v/>
      </c>
      <c r="K20" s="18">
        <f>COUNTA('S9'!B9:B16)-COUNTA('S9'!K9:K16)</f>
        <v/>
      </c>
      <c r="L20" s="18">
        <f>COUNTA('S10'!B9:B16)-COUNTA('S10'!K9:K16)</f>
        <v/>
      </c>
      <c r="M20" s="18">
        <f>COUNTA('S13'!B9:B16)-COUNTA('S13'!K9:K16)</f>
        <v/>
      </c>
      <c r="N20" s="18">
        <f>COUNTA('S14'!B9:B16)-COUNTA('S14'!K9:K16)</f>
        <v/>
      </c>
      <c r="O20" s="18">
        <f>COUNTA('S15'!B9:B16)-COUNTA('S15'!K9:K16)</f>
        <v/>
      </c>
      <c r="P20" s="18">
        <f>COUNTA('S16'!B9:B16)-COUNTA('S16'!K9:K16)</f>
        <v/>
      </c>
      <c r="Q20" s="18">
        <f>COUNTA('S17'!B9:B16)-COUNTA('S17'!K9:K16)</f>
        <v/>
      </c>
      <c r="R20" s="18">
        <f>COUNTA('S18'!B9:B16)-COUNTA('S18'!K9:K16)</f>
        <v/>
      </c>
      <c r="S20" s="18">
        <f>COUNTA('S19'!B9:B16)-COUNTA('S19'!K9:K16)</f>
        <v/>
      </c>
      <c r="T20" s="18">
        <f>COUNTA('S20'!B9:B16)-COUNTA('S20'!K9:K16)</f>
        <v/>
      </c>
      <c r="U20" s="18">
        <f>COUNTA('S21'!B9:B16)-COUNTA('S21'!K9:K16)</f>
        <v/>
      </c>
      <c r="V20" s="18">
        <f>COUNTA('S22'!B9:B16)-COUNTA('S22'!K9:K16)</f>
        <v/>
      </c>
      <c r="W20" s="20">
        <f>SUM(C20:V20)</f>
        <v/>
      </c>
    </row>
    <row r="21" ht="20" customHeight="1">
      <c r="A21" s="7" t="inlineStr">
        <is>
          <t>4</t>
        </is>
      </c>
      <c r="B21" s="24" t="inlineStr">
        <is>
          <t>CON EL PORQUÉ</t>
        </is>
      </c>
      <c r="C21" s="18">
        <f>COUNTA('S1'!B9:B16)-COUNTA('S1'!L9:L16)</f>
        <v/>
      </c>
      <c r="D21" s="18">
        <f>COUNTA('S2'!B9:B16)-COUNTA('S2'!L9:L16)</f>
        <v/>
      </c>
      <c r="E21" s="18">
        <f>COUNTA('S3'!B9:B16)-COUNTA('S3'!L9:L16)</f>
        <v/>
      </c>
      <c r="F21" s="18">
        <f>COUNTA('S4'!B9:B16)-COUNTA('S4'!L9:L16)</f>
        <v/>
      </c>
      <c r="G21" s="18">
        <f>COUNTA('S5'!B9:B16)-COUNTA('S5'!L9:L16)</f>
        <v/>
      </c>
      <c r="H21" s="18">
        <f>COUNTA('S6'!B9:B16)-COUNTA('S6'!L9:L16)</f>
        <v/>
      </c>
      <c r="I21" s="18">
        <f>COUNTA('S7'!B9:B16)-COUNTA('S7'!L9:L16)</f>
        <v/>
      </c>
      <c r="J21" s="18">
        <f>COUNTA('S8'!B9:B16)-COUNTA('S8'!L9:L16)</f>
        <v/>
      </c>
      <c r="K21" s="18">
        <f>COUNTA('S9'!B9:B16)-COUNTA('S9'!L9:L16)</f>
        <v/>
      </c>
      <c r="L21" s="18">
        <f>COUNTA('S10'!B9:B16)-COUNTA('S10'!L9:L16)</f>
        <v/>
      </c>
      <c r="M21" s="18">
        <f>COUNTA('S13'!B9:B16)-COUNTA('S13'!L9:L16)</f>
        <v/>
      </c>
      <c r="N21" s="18">
        <f>COUNTA('S14'!B9:B16)-COUNTA('S14'!L9:L16)</f>
        <v/>
      </c>
      <c r="O21" s="18">
        <f>COUNTA('S15'!B9:B16)-COUNTA('S15'!L9:L16)</f>
        <v/>
      </c>
      <c r="P21" s="18">
        <f>COUNTA('S16'!B9:B16)-COUNTA('S16'!L9:L16)</f>
        <v/>
      </c>
      <c r="Q21" s="18">
        <f>COUNTA('S17'!B9:B16)-COUNTA('S17'!L9:L16)</f>
        <v/>
      </c>
      <c r="R21" s="18">
        <f>COUNTA('S18'!B9:B16)-COUNTA('S18'!L9:L16)</f>
        <v/>
      </c>
      <c r="S21" s="18">
        <f>COUNTA('S19'!B9:B16)-COUNTA('S19'!L9:L16)</f>
        <v/>
      </c>
      <c r="T21" s="18">
        <f>COUNTA('S20'!B9:B16)-COUNTA('S20'!L9:L16)</f>
        <v/>
      </c>
      <c r="U21" s="18">
        <f>COUNTA('S21'!B9:B16)-COUNTA('S21'!L9:L16)</f>
        <v/>
      </c>
      <c r="V21" s="18">
        <f>COUNTA('S22'!B9:B16)-COUNTA('S22'!L9:L16)</f>
        <v/>
      </c>
      <c r="W21" s="20">
        <f>SUM(C21:V21)</f>
        <v/>
      </c>
    </row>
    <row r="22" ht="20" customHeight="1">
      <c r="A22" s="7" t="inlineStr">
        <is>
          <t>5</t>
        </is>
      </c>
      <c r="B22" s="24" t="inlineStr">
        <is>
          <t>SUSTENTADO POR TODOS</t>
        </is>
      </c>
      <c r="C22" s="18">
        <f>COUNTA('S1'!B9:B16)-COUNTA('S1'!M9:M16)</f>
        <v/>
      </c>
      <c r="D22" s="18">
        <f>COUNTA('S2'!B9:B16)-COUNTA('S2'!M9:M16)</f>
        <v/>
      </c>
      <c r="E22" s="18">
        <f>COUNTA('S3'!B9:B16)-COUNTA('S3'!M9:M16)</f>
        <v/>
      </c>
      <c r="F22" s="18">
        <f>COUNTA('S4'!B9:B16)-COUNTA('S4'!M9:M16)</f>
        <v/>
      </c>
      <c r="G22" s="18">
        <f>COUNTA('S5'!B9:B16)-COUNTA('S5'!M9:M16)</f>
        <v/>
      </c>
      <c r="H22" s="18">
        <f>COUNTA('S6'!B9:B16)-COUNTA('S6'!M9:M16)</f>
        <v/>
      </c>
      <c r="I22" s="18">
        <f>COUNTA('S7'!B9:B16)-COUNTA('S7'!M9:M16)</f>
        <v/>
      </c>
      <c r="J22" s="18">
        <f>COUNTA('S8'!B9:B16)-COUNTA('S8'!M9:M16)</f>
        <v/>
      </c>
      <c r="K22" s="18">
        <f>COUNTA('S9'!B9:B16)-COUNTA('S9'!M9:M16)</f>
        <v/>
      </c>
      <c r="L22" s="18">
        <f>COUNTA('S10'!B9:B16)-COUNTA('S10'!M9:M16)</f>
        <v/>
      </c>
      <c r="M22" s="18">
        <f>COUNTA('S13'!B9:B16)-COUNTA('S13'!M9:M16)</f>
        <v/>
      </c>
      <c r="N22" s="18">
        <f>COUNTA('S14'!B9:B16)-COUNTA('S14'!M9:M16)</f>
        <v/>
      </c>
      <c r="O22" s="18">
        <f>COUNTA('S15'!B9:B16)-COUNTA('S15'!M9:M16)</f>
        <v/>
      </c>
      <c r="P22" s="18">
        <f>COUNTA('S16'!B9:B16)-COUNTA('S16'!M9:M16)</f>
        <v/>
      </c>
      <c r="Q22" s="18">
        <f>COUNTA('S17'!B9:B16)-COUNTA('S17'!M9:M16)</f>
        <v/>
      </c>
      <c r="R22" s="18">
        <f>COUNTA('S18'!B9:B16)-COUNTA('S18'!M9:M16)</f>
        <v/>
      </c>
      <c r="S22" s="18">
        <f>COUNTA('S19'!B9:B16)-COUNTA('S19'!M9:M16)</f>
        <v/>
      </c>
      <c r="T22" s="18">
        <f>COUNTA('S20'!B9:B16)-COUNTA('S20'!M9:M16)</f>
        <v/>
      </c>
      <c r="U22" s="18">
        <f>COUNTA('S21'!B9:B16)-COUNTA('S21'!M9:M16)</f>
        <v/>
      </c>
      <c r="V22" s="18">
        <f>COUNTA('S22'!B9:B16)-COUNTA('S22'!M9:M16)</f>
        <v/>
      </c>
      <c r="W22" s="20">
        <f>SUM(C22:V22)</f>
        <v/>
      </c>
    </row>
    <row r="24" ht="30" customHeight="1">
      <c r="A24" s="25" t="inlineStr">
        <is>
          <t>El ítem con el TOTAL más alto es el que hay que volver a enseñar, no el que hay que castigar. Un equipo con dos o más sesiones bajo 13 necesita acompañamiento, no una nota.</t>
        </is>
      </c>
    </row>
  </sheetData>
  <mergeCells count="4">
    <mergeCell ref="A24:X24"/>
    <mergeCell ref="A2:X2"/>
    <mergeCell ref="A16:X16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  ·  Marco del SIG (SSOMAC) y qué es la ISO 9001</t>
        </is>
      </c>
    </row>
    <row r="2" ht="26" customHeight="1">
      <c r="A2" s="14" t="inlineStr">
        <is>
          <t>Aprendizaje esperado:  Describe qué es un sistema integrado de gestión, qué cubre cada letra de SSOMAC y dónde entra la ISO 9001</t>
        </is>
      </c>
    </row>
    <row r="3" ht="28" customHeight="1">
      <c r="A3" s="26" t="inlineStr">
        <is>
          <t>Hoy, «completo» es:  cada documento con su letra del SSOMAC · los que faltan y los vencidos, señalados · cada hueco con a quién deja desprotegido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8" t="inlineStr"/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8" t="inlineStr"/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8" t="inlineStr"/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8" t="inlineStr"/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8" t="inlineStr"/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8" t="inlineStr"/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8" t="inlineStr"/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8" t="inlineStr"/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2  ·  Ciclo PHVA, términos clave y contexto de la organización</t>
        </is>
      </c>
    </row>
    <row r="2" ht="26" customHeight="1">
      <c r="A2" s="14" t="inlineStr">
        <is>
          <t>Aprendizaje esperado:  Describe el ciclo PHVA y cómo una organización identifica su contexto y sus partes interesadas</t>
        </is>
      </c>
    </row>
    <row r="3" ht="28" customHeight="1">
      <c r="A3" s="26" t="inlineStr">
        <is>
          <t>Hoy, «completo» es:  cada hecho en su etapa del ciclo · la etapa donde se rompió, señalada · cada parte interesada con lo que esperaba y lo que le costó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3  ·  Liderazgo, política de calidad, roles y objetivos</t>
        </is>
      </c>
    </row>
    <row r="2" ht="26" customHeight="1">
      <c r="A2" s="14" t="inlineStr">
        <is>
          <t>Aprendizaje esperado:  Describe qué le exige la ISO 9001 a la alta dirección: la política de calidad, los objetivos que bajan de ella y los roles que asigna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4  ·  Planificación, recursos y documentación del SGC</t>
        </is>
      </c>
    </row>
    <row r="2" ht="26" customHeight="1">
      <c r="A2" s="14" t="inlineStr">
        <is>
          <t>Aprendizaje esperado:  Describe qué información documentada exige la ISO 9001 y por qué su cumplimiento es voluntario, a diferencia del sistema que manda la ley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5  ·  El SGSST peruano: Ley 29783, DS 005-2012-TR y DS 024-2016-EM</t>
        </is>
      </c>
    </row>
    <row r="2" ht="26" customHeight="1">
      <c r="A2" s="14" t="inlineStr">
        <is>
          <t>Aprendizaje esperado:  Describe por qué el SGSST es obligatorio en el Perú, qué norma lo manda y qué consecuencia trae incumplirla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6  ·  Diagnóstico de línea base del SGSST · mapa del bloque</t>
        </is>
      </c>
    </row>
    <row r="2" ht="26" customHeight="1">
      <c r="A2" s="14" t="inlineStr">
        <is>
          <t>Aprendizaje esperado:  Describe qué es el diagnóstico de línea base, por qué la ley lo pone al inicio y qué evalúa cada uno de sus ocho lineamientos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7  ·  Política de SST</t>
        </is>
      </c>
    </row>
    <row r="2" ht="26" customHeight="1">
      <c r="A2" s="14" t="inlineStr">
        <is>
          <t>Aprendizaje esperado:  Describe qué debe contener la política de SST, quién la aprueba y cómo se difunde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8  ·  Organización del sistema: comité paritario / supervisor y RISST</t>
        </is>
      </c>
    </row>
    <row r="2" ht="26" customHeight="1">
      <c r="A2" s="14" t="inlineStr">
        <is>
          <t>Aprendizaje esperado:  Describe cómo se organiza el SGSST: cuándo corresponde comité y cuándo supervisor, qué funciones tiene y qué es el reglamento interno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9  ·  Del IPERC al mapa de riesgos: qué exige el sistema</t>
        </is>
      </c>
    </row>
    <row r="2" ht="26" customHeight="1">
      <c r="A2" s="14" t="inlineStr">
        <is>
          <t>Aprendizaje esperado:  Describe qué exige la norma en identificación de peligros y evaluación de riesgos, y qué documento produce ese trabajo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10  ·  Plan y programa anual de SST · pautas del TC1</t>
        </is>
      </c>
    </row>
    <row r="2" ht="26" customHeight="1">
      <c r="A2" s="14" t="inlineStr">
        <is>
          <t>Aprendizaje esperado:  Describe qué contiene un plan y un programa anual de SST, y cómo se formula un objetivo con su indicador, meta y plazo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13  ·  Programa anual de capacitaciones, inducción y simulacros</t>
        </is>
      </c>
    </row>
    <row r="2" ht="26" customHeight="1">
      <c r="A2" s="14" t="inlineStr">
        <is>
          <t>Aprendizaje esperado:  Describe qué capacitaciones exige la ley, con qué frecuencia y en qué registro quedan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14  ·  Los registros obligatorios del SGSST</t>
        </is>
      </c>
    </row>
    <row r="2" ht="26" customHeight="1">
      <c r="A2" s="14" t="inlineStr">
        <is>
          <t>Aprendizaje esperado:  Describe cuáles son los registros obligatorios del SGSST, qué contiene cada uno y cuánto tiempo se conservan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15  ·  Investigación de accidentes e incidentes</t>
        </is>
      </c>
    </row>
    <row r="2" ht="26" customHeight="1">
      <c r="A2" s="14" t="inlineStr">
        <is>
          <t>Aprendizaje esperado:  Describe cómo se distingue accidente, incidente e incidente peligroso, y qué exige el sistema al investigarlos: qué registro genera y a quién se notifica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16  ·  Estadísticas de SST: índices de frecuencia, severidad y accidentabilidad</t>
        </is>
      </c>
    </row>
    <row r="2" ht="26" customHeight="1">
      <c r="A2" s="14" t="inlineStr">
        <is>
          <t>Aprendizaje esperado:  Describe qué mide cada índice, cómo se obtiene y qué decisión del sistema alimenta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17  ·  Inspecciones internas, auditorías y evaluación normativa</t>
        </is>
      </c>
    </row>
    <row r="2" ht="26" customHeight="1">
      <c r="A2" s="14" t="inlineStr">
        <is>
          <t>Aprendizaje esperado:  Describe qué verifica cada instrumento de comprobación del sistema —la inspección interna, la auditoría y la evaluación normativa— y en qué se diferencian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18  ·  Revisión por la dirección y mejora continua del SGSST</t>
        </is>
      </c>
    </row>
    <row r="2" ht="26" customHeight="1">
      <c r="A2" s="14" t="inlineStr">
        <is>
          <t>Aprendizaje esperado:  Describe qué asuntos entran en una revisión por la dirección y qué produce, para cerrar el ciclo de mejora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19  ·  Introducción a la ISO 14001 y la gestión ambiental</t>
        </is>
      </c>
    </row>
    <row r="2" ht="26" customHeight="1">
      <c r="A2" s="14" t="inlineStr">
        <is>
          <t>Aprendizaje esperado:  Describe qué es la ISO 14001 y en qué se parece y en qué se diferencia del sistema de seguridad y salud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20  ·  Aspectos e impactos ambientales</t>
        </is>
      </c>
    </row>
    <row r="2" ht="26" customHeight="1">
      <c r="A2" s="14" t="inlineStr">
        <is>
          <t>Aprendizaje esperado:  Describe cómo se identifica un aspecto ambiental significativo y cómo se evalúa su impacto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21  ·  Objetivos ambientales, control operacional y monitoreo</t>
        </is>
      </c>
    </row>
    <row r="2" ht="26" customHeight="1">
      <c r="A2" s="14" t="inlineStr">
        <is>
          <t>Aprendizaje esperado:  Describe cómo se fija un objetivo ambiental y con qué control operacional y qué monitoreo se sostiene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7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8" customWidth="1" min="14" max="14"/>
    <col width="9" customWidth="1" min="15" max="15"/>
  </cols>
  <sheetData>
    <row r="1" ht="26" customHeight="1">
      <c r="A1" s="13" t="inlineStr">
        <is>
          <t>SESIÓN 22  ·  Integración ambiental y documentación del SIG · pautas del TC2</t>
        </is>
      </c>
    </row>
    <row r="2" ht="26" customHeight="1">
      <c r="A2" s="14" t="inlineStr">
        <is>
          <t>Aprendizaje esperado:  Describe cómo los tres sistemas se integran en un solo cuerpo documental y qué documento sirve a más de uno</t>
        </is>
      </c>
    </row>
    <row r="3" ht="28" customHeight="1">
      <c r="A3" s="32" t="inlineStr">
        <is>
          <t>Hoy, «completo» es:  — pendiente: son los pasos del encargo de esta sesión —</t>
        </is>
      </c>
    </row>
    <row r="4">
      <c r="A4" s="27" t="inlineStr">
        <is>
          <t>Marca con una x. Primero el equipo, después tú. La nota y la brecha se calculan solas. NO SE REGISTRA.</t>
        </is>
      </c>
    </row>
    <row r="6">
      <c r="A6" s="15" t="inlineStr">
        <is>
          <t>EQUIPO</t>
        </is>
      </c>
      <c r="B6" s="15" t="inlineStr">
        <is>
          <t>INTEGRANTES</t>
        </is>
      </c>
      <c r="C6" s="15" t="inlineStr">
        <is>
          <t>SE MARCA EL EQUIPO</t>
        </is>
      </c>
      <c r="H6" s="16" t="inlineStr">
        <is>
          <t>AUTO</t>
        </is>
      </c>
      <c r="I6" s="15" t="inlineStr">
        <is>
          <t>MARCAS TÚ</t>
        </is>
      </c>
      <c r="N6" s="16" t="inlineStr">
        <is>
          <t>NOTA</t>
        </is>
      </c>
      <c r="O6" s="16" t="inlineStr">
        <is>
          <t>BRECHA</t>
        </is>
      </c>
    </row>
    <row r="7" ht="18" customHeight="1">
      <c r="C7" s="5" t="inlineStr">
        <is>
          <t>1</t>
        </is>
      </c>
      <c r="D7" s="5" t="inlineStr">
        <is>
          <t>2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5</t>
        </is>
      </c>
      <c r="H7" s="22" t="inlineStr">
        <is>
          <t>/20</t>
        </is>
      </c>
      <c r="I7" s="5" t="inlineStr">
        <is>
          <t>1</t>
        </is>
      </c>
      <c r="J7" s="5" t="inlineStr">
        <is>
          <t>2</t>
        </is>
      </c>
      <c r="K7" s="5" t="inlineStr">
        <is>
          <t>3</t>
        </is>
      </c>
      <c r="L7" s="5" t="inlineStr">
        <is>
          <t>4</t>
        </is>
      </c>
      <c r="M7" s="5" t="inlineStr">
        <is>
          <t>5</t>
        </is>
      </c>
      <c r="N7" s="22" t="inlineStr">
        <is>
          <t>/20</t>
        </is>
      </c>
      <c r="O7" s="22" t="inlineStr">
        <is>
          <t>auto − tú</t>
        </is>
      </c>
    </row>
    <row r="9" ht="22" customHeight="1">
      <c r="A9" s="7" t="inlineStr">
        <is>
          <t>Equipo 1</t>
        </is>
      </c>
      <c r="B9" s="27">
        <f>'S1'!B9</f>
        <v/>
      </c>
      <c r="C9" s="29" t="inlineStr"/>
      <c r="D9" s="29" t="inlineStr"/>
      <c r="E9" s="29" t="inlineStr"/>
      <c r="F9" s="29" t="inlineStr"/>
      <c r="G9" s="29" t="inlineStr"/>
      <c r="H9" s="7">
        <f>COUNTA(C9:G9)*4</f>
        <v/>
      </c>
      <c r="I9" s="29" t="inlineStr"/>
      <c r="J9" s="29" t="inlineStr"/>
      <c r="K9" s="29" t="inlineStr"/>
      <c r="L9" s="29" t="inlineStr"/>
      <c r="M9" s="29" t="inlineStr"/>
      <c r="N9" s="10">
        <f>COUNTA(I9:M9)*4</f>
        <v/>
      </c>
      <c r="O9" s="30">
        <f>H9-N9</f>
        <v/>
      </c>
    </row>
    <row r="10" ht="22" customHeight="1">
      <c r="A10" s="7" t="inlineStr">
        <is>
          <t>Equipo 2</t>
        </is>
      </c>
      <c r="B10" s="27">
        <f>'S1'!B10</f>
        <v/>
      </c>
      <c r="C10" s="29" t="inlineStr"/>
      <c r="D10" s="29" t="inlineStr"/>
      <c r="E10" s="29" t="inlineStr"/>
      <c r="F10" s="29" t="inlineStr"/>
      <c r="G10" s="29" t="inlineStr"/>
      <c r="H10" s="7">
        <f>COUNTA(C10:G10)*4</f>
        <v/>
      </c>
      <c r="I10" s="29" t="inlineStr"/>
      <c r="J10" s="29" t="inlineStr"/>
      <c r="K10" s="29" t="inlineStr"/>
      <c r="L10" s="29" t="inlineStr"/>
      <c r="M10" s="29" t="inlineStr"/>
      <c r="N10" s="10">
        <f>COUNTA(I10:M10)*4</f>
        <v/>
      </c>
      <c r="O10" s="30">
        <f>H10-N10</f>
        <v/>
      </c>
    </row>
    <row r="11" ht="22" customHeight="1">
      <c r="A11" s="7" t="inlineStr">
        <is>
          <t>Equipo 3</t>
        </is>
      </c>
      <c r="B11" s="27">
        <f>'S1'!B11</f>
        <v/>
      </c>
      <c r="C11" s="29" t="inlineStr"/>
      <c r="D11" s="29" t="inlineStr"/>
      <c r="E11" s="29" t="inlineStr"/>
      <c r="F11" s="29" t="inlineStr"/>
      <c r="G11" s="29" t="inlineStr"/>
      <c r="H11" s="7">
        <f>COUNTA(C11:G11)*4</f>
        <v/>
      </c>
      <c r="I11" s="29" t="inlineStr"/>
      <c r="J11" s="29" t="inlineStr"/>
      <c r="K11" s="29" t="inlineStr"/>
      <c r="L11" s="29" t="inlineStr"/>
      <c r="M11" s="29" t="inlineStr"/>
      <c r="N11" s="10">
        <f>COUNTA(I11:M11)*4</f>
        <v/>
      </c>
      <c r="O11" s="30">
        <f>H11-N11</f>
        <v/>
      </c>
    </row>
    <row r="12" ht="22" customHeight="1">
      <c r="A12" s="7" t="inlineStr">
        <is>
          <t>Equipo 4</t>
        </is>
      </c>
      <c r="B12" s="27">
        <f>'S1'!B12</f>
        <v/>
      </c>
      <c r="C12" s="29" t="inlineStr"/>
      <c r="D12" s="29" t="inlineStr"/>
      <c r="E12" s="29" t="inlineStr"/>
      <c r="F12" s="29" t="inlineStr"/>
      <c r="G12" s="29" t="inlineStr"/>
      <c r="H12" s="7">
        <f>COUNTA(C12:G12)*4</f>
        <v/>
      </c>
      <c r="I12" s="29" t="inlineStr"/>
      <c r="J12" s="29" t="inlineStr"/>
      <c r="K12" s="29" t="inlineStr"/>
      <c r="L12" s="29" t="inlineStr"/>
      <c r="M12" s="29" t="inlineStr"/>
      <c r="N12" s="10">
        <f>COUNTA(I12:M12)*4</f>
        <v/>
      </c>
      <c r="O12" s="30">
        <f>H12-N12</f>
        <v/>
      </c>
    </row>
    <row r="13" ht="22" customHeight="1">
      <c r="A13" s="7" t="inlineStr">
        <is>
          <t>Equipo 5</t>
        </is>
      </c>
      <c r="B13" s="27">
        <f>'S1'!B13</f>
        <v/>
      </c>
      <c r="C13" s="29" t="inlineStr"/>
      <c r="D13" s="29" t="inlineStr"/>
      <c r="E13" s="29" t="inlineStr"/>
      <c r="F13" s="29" t="inlineStr"/>
      <c r="G13" s="29" t="inlineStr"/>
      <c r="H13" s="7">
        <f>COUNTA(C13:G13)*4</f>
        <v/>
      </c>
      <c r="I13" s="29" t="inlineStr"/>
      <c r="J13" s="29" t="inlineStr"/>
      <c r="K13" s="29" t="inlineStr"/>
      <c r="L13" s="29" t="inlineStr"/>
      <c r="M13" s="29" t="inlineStr"/>
      <c r="N13" s="10">
        <f>COUNTA(I13:M13)*4</f>
        <v/>
      </c>
      <c r="O13" s="30">
        <f>H13-N13</f>
        <v/>
      </c>
    </row>
    <row r="14" ht="22" customHeight="1">
      <c r="A14" s="7" t="inlineStr">
        <is>
          <t>Equipo 6</t>
        </is>
      </c>
      <c r="B14" s="27">
        <f>'S1'!B14</f>
        <v/>
      </c>
      <c r="C14" s="29" t="inlineStr"/>
      <c r="D14" s="29" t="inlineStr"/>
      <c r="E14" s="29" t="inlineStr"/>
      <c r="F14" s="29" t="inlineStr"/>
      <c r="G14" s="29" t="inlineStr"/>
      <c r="H14" s="7">
        <f>COUNTA(C14:G14)*4</f>
        <v/>
      </c>
      <c r="I14" s="29" t="inlineStr"/>
      <c r="J14" s="29" t="inlineStr"/>
      <c r="K14" s="29" t="inlineStr"/>
      <c r="L14" s="29" t="inlineStr"/>
      <c r="M14" s="29" t="inlineStr"/>
      <c r="N14" s="10">
        <f>COUNTA(I14:M14)*4</f>
        <v/>
      </c>
      <c r="O14" s="30">
        <f>H14-N14</f>
        <v/>
      </c>
    </row>
    <row r="15" ht="22" customHeight="1">
      <c r="A15" s="7" t="inlineStr">
        <is>
          <t>Equipo 7</t>
        </is>
      </c>
      <c r="B15" s="27">
        <f>'S1'!B15</f>
        <v/>
      </c>
      <c r="C15" s="29" t="inlineStr"/>
      <c r="D15" s="29" t="inlineStr"/>
      <c r="E15" s="29" t="inlineStr"/>
      <c r="F15" s="29" t="inlineStr"/>
      <c r="G15" s="29" t="inlineStr"/>
      <c r="H15" s="7">
        <f>COUNTA(C15:G15)*4</f>
        <v/>
      </c>
      <c r="I15" s="29" t="inlineStr"/>
      <c r="J15" s="29" t="inlineStr"/>
      <c r="K15" s="29" t="inlineStr"/>
      <c r="L15" s="29" t="inlineStr"/>
      <c r="M15" s="29" t="inlineStr"/>
      <c r="N15" s="10">
        <f>COUNTA(I15:M15)*4</f>
        <v/>
      </c>
      <c r="O15" s="30">
        <f>H15-N15</f>
        <v/>
      </c>
    </row>
    <row r="16" ht="22" customHeight="1">
      <c r="A16" s="7" t="inlineStr">
        <is>
          <t>Equipo 8</t>
        </is>
      </c>
      <c r="B16" s="27">
        <f>'S1'!B16</f>
        <v/>
      </c>
      <c r="C16" s="29" t="inlineStr"/>
      <c r="D16" s="29" t="inlineStr"/>
      <c r="E16" s="29" t="inlineStr"/>
      <c r="F16" s="29" t="inlineStr"/>
      <c r="G16" s="29" t="inlineStr"/>
      <c r="H16" s="7">
        <f>COUNTA(C16:G16)*4</f>
        <v/>
      </c>
      <c r="I16" s="29" t="inlineStr"/>
      <c r="J16" s="29" t="inlineStr"/>
      <c r="K16" s="29" t="inlineStr"/>
      <c r="L16" s="29" t="inlineStr"/>
      <c r="M16" s="29" t="inlineStr"/>
      <c r="N16" s="10">
        <f>COUNTA(I16:M16)*4</f>
        <v/>
      </c>
      <c r="O16" s="30">
        <f>H16-N16</f>
        <v/>
      </c>
    </row>
    <row r="18">
      <c r="B18" s="21" t="inlineStr">
        <is>
          <t>No lo cumplieron</t>
        </is>
      </c>
      <c r="I18" s="20">
        <f>COUNTA(B9:B16)-COUNTA(I9:I16)</f>
        <v/>
      </c>
      <c r="J18" s="20">
        <f>COUNTA(B9:B16)-COUNTA(J9:J16)</f>
        <v/>
      </c>
      <c r="K18" s="20">
        <f>COUNTA(B9:B16)-COUNTA(K9:K16)</f>
        <v/>
      </c>
      <c r="L18" s="20">
        <f>COUNTA(B9:B16)-COUNTA(L9:L16)</f>
        <v/>
      </c>
      <c r="M18" s="20">
        <f>COUNTA(B9:B16)-COUNTA(M9:M16)</f>
        <v/>
      </c>
      <c r="N18" s="31" t="inlineStr">
        <is>
          <t>equipos</t>
        </is>
      </c>
    </row>
  </sheetData>
  <mergeCells count="8">
    <mergeCell ref="A2:O2"/>
    <mergeCell ref="C6:G6"/>
    <mergeCell ref="I6:M6"/>
    <mergeCell ref="A1:O1"/>
    <mergeCell ref="A6:A7"/>
    <mergeCell ref="B6:B7"/>
    <mergeCell ref="A4:O4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2026-09-01T19:09:37Z</dcterms:created>
  <dcterms:modified xmlns:dcterms="http://purl.org/dc/terms/" xmlns:xsi="http://www.w3.org/2001/XMLSchema-instance" xsi:type="dcterms:W3CDTF">2026-09-01T19:09:38Z</dcterms:modified>
</cp:coreProperties>
</file>